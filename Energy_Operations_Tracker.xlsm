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202300"/>
  <mc:AlternateContent xmlns:mc="http://schemas.openxmlformats.org/markup-compatibility/2006">
    <mc:Choice Requires="x15">
      <x15ac:absPath xmlns:x15ac="http://schemas.microsoft.com/office/spreadsheetml/2010/11/ac" url="C:\Ana\Master Data Analytics\projecto_Ana_portfolio\Project_Z\"/>
    </mc:Choice>
  </mc:AlternateContent>
  <xr:revisionPtr revIDLastSave="0" documentId="13_ncr:1_{541C5D08-9BF5-476F-B5B1-3B2CC44569CF}" xr6:coauthVersionLast="47" xr6:coauthVersionMax="47" xr10:uidLastSave="{00000000-0000-0000-0000-000000000000}"/>
  <bookViews>
    <workbookView xWindow="-108" yWindow="-108" windowWidth="23256" windowHeight="12456" activeTab="1" xr2:uid="{59843040-628D-478D-8EAB-6A4D7799E816}"/>
  </bookViews>
  <sheets>
    <sheet name="CRM_Data" sheetId="1" r:id="rId1"/>
    <sheet name="Billing_Data" sheetId="2" r:id="rId2"/>
    <sheet name="Pivot_Backend" sheetId="4" r:id="rId3"/>
    <sheet name="PivotTables_Data" sheetId="7" r:id="rId4"/>
    <sheet name="Dashboard" sheetId="3" r:id="rId5"/>
  </sheets>
  <definedNames>
    <definedName name="_xlpm.c" hidden="1" xlm="1">#NAME?</definedName>
    <definedName name="_xlpm.clients" hidden="1" xlm="1">#NAME?</definedName>
    <definedName name="_xlpm.data" hidden="1" xlm="1">#NAME?</definedName>
    <definedName name="_xlpm.hours" hidden="1" xlm="1">#NAME?</definedName>
    <definedName name="_xlpm.sorted" hidden="1" xlm="1">#NAME?</definedName>
    <definedName name="_xlpm.tickets" hidden="1" xlm="1">#NAME?</definedName>
    <definedName name="_xlpm.total" hidden="1" xlm="1">#NAME?</definedName>
    <definedName name="ExternalData_1" localSheetId="1" hidden="1">Billing_Data!$A$1:$F$35</definedName>
    <definedName name="ExternalData_1" localSheetId="0" hidden="1">CRM_Data!$A$1:$I$35</definedName>
    <definedName name="Slicer_Priority">#N/A</definedName>
    <definedName name="Slicer_Status">#N/A</definedName>
  </definedNames>
  <calcPr calcId="191029"/>
  <pivotCaches>
    <pivotCache cacheId="1231" r:id="rId6"/>
    <pivotCache cacheId="1234" r:id="rId7"/>
    <pivotCache cacheId="1237" r:id="rId8"/>
    <pivotCache cacheId="1244" r:id="rId9"/>
    <pivotCache cacheId="1248" r:id="rId10"/>
  </pivotCaches>
  <extLst>
    <ext xmlns:x14="http://schemas.microsoft.com/office/spreadsheetml/2009/9/main" uri="{876F7934-8845-4945-9796-88D515C7AA90}">
      <x14:pivotCaches>
        <pivotCache cacheId="1230" r:id="rId11"/>
      </x14:pivotCaches>
    </ext>
    <ext xmlns:x14="http://schemas.microsoft.com/office/spreadsheetml/2009/9/main" uri="{BBE1A952-AA13-448e-AADC-164F8A28A991}">
      <x14:slicerCaches>
        <x14:slicerCache r:id="rId12"/>
        <x14:slicerCache r:id="rId13"/>
      </x14:slicerCaches>
    </ext>
    <ext xmlns:x14="http://schemas.microsoft.com/office/spreadsheetml/2009/9/main" uri="{79F54976-1DA5-4618-B147-4CDE4B953A38}">
      <x14:workbookPr/>
    </ext>
    <ext xmlns:x15="http://schemas.microsoft.com/office/spreadsheetml/2010/11/main" uri="{841E416B-1EF1-43b6-AB56-02D37102CBD5}">
      <x15:pivotCaches>
        <pivotCache cacheId="1227" r:id="rId14"/>
        <pivotCache cacheId="1240" r:id="rId15"/>
      </x15:pivotCaches>
    </ext>
    <ext xmlns:x15="http://schemas.microsoft.com/office/spreadsheetml/2010/11/main" uri="{983426D0-5260-488c-9760-48F4B6AC55F4}">
      <x15:pivotTableReferences>
        <x15:pivotTableReference r:id="rId16"/>
        <x15:pivotTableReference r:id="rId17"/>
      </x15:pivotTableReferenc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RM_EXPORT_db2de22a-b7ba-424f-8321-0ee3ac6549ec" name="CRM_EXPORT" connection="Query - CRM_EXPORT"/>
          <x15:modelTable id="BILLING_EXPORT_83361069-d33a-43d5-9867-0ed8eeb60777" name="BILLING_EXPORT" connection="Query - BILLING_EXPORT"/>
        </x15:modelTables>
        <x15:modelRelationships>
          <x15:modelRelationship fromTable="CRM_EXPORT" fromColumn="Client" toTable="BILLING_EXPORT" toColumn="Client"/>
        </x15:modelRelationships>
        <x15:extLst>
          <ext xmlns:x16="http://schemas.microsoft.com/office/spreadsheetml/2014/11/main" uri="{9835A34E-60A6-4A7C-AAB8-D5F71C897F49}">
            <x16:modelTimeGroupings>
              <x16:modelTimeGrouping tableName="CRM_EXPORT" columnName="Date" columnId="Date">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R2" i="4" l="1" a="1"/>
  <c r="R2" i="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F37273E-B8B9-45E8-805E-202B6B97BB70}" keepAlive="1" name="ModelConnection_ExternalData_1" description="Data Model" type="5" refreshedVersion="8" minRefreshableVersion="5" saveData="1">
    <dbPr connection="Data Model Connection" command="CRM_EXPORT" commandType="3"/>
    <extLst>
      <ext xmlns:x15="http://schemas.microsoft.com/office/spreadsheetml/2010/11/main" uri="{DE250136-89BD-433C-8126-D09CA5730AF9}">
        <x15:connection id="" model="1"/>
      </ext>
    </extLst>
  </connection>
  <connection id="2" xr16:uid="{02EB1E1B-A678-4E82-9B7B-86FE572FCC3B}" keepAlive="1" name="ModelConnection_ExternalData_11" description="Data Model" type="5" refreshedVersion="8" minRefreshableVersion="5" saveData="1">
    <dbPr connection="Data Model Connection" command="BILLING_EXPORT" commandType="3"/>
    <extLst>
      <ext xmlns:x15="http://schemas.microsoft.com/office/spreadsheetml/2010/11/main" uri="{DE250136-89BD-433C-8126-D09CA5730AF9}">
        <x15:connection id="" model="1"/>
      </ext>
    </extLst>
  </connection>
  <connection id="3" xr16:uid="{D69A94F7-018D-45FA-953F-859F2FEAF205}" name="Query - BILLING_EXPORT" description="Connection to the 'BILLING_EXPORT' query in the workbook." type="100" refreshedVersion="8" minRefreshableVersion="5" refreshOnLoad="1" saveData="1">
    <extLst>
      <ext xmlns:x15="http://schemas.microsoft.com/office/spreadsheetml/2010/11/main" uri="{DE250136-89BD-433C-8126-D09CA5730AF9}">
        <x15:connection id="529bc8c7-545a-4ab0-81da-576a7cd423d7"/>
      </ext>
    </extLst>
  </connection>
  <connection id="4" xr16:uid="{088A690F-D094-4CD6-A8E4-0064E7D3D4B8}" name="Query - CRM_EXPORT" description="Connection to the 'CRM_EXPORT' query in the workbook." type="100" refreshedVersion="8" minRefreshableVersion="5" refreshOnLoad="1" saveData="1">
    <extLst>
      <ext xmlns:x15="http://schemas.microsoft.com/office/spreadsheetml/2010/11/main" uri="{DE250136-89BD-433C-8126-D09CA5730AF9}">
        <x15:connection id="1855ad3b-83aa-43c6-a343-5c87bc255ec8"/>
      </ext>
    </extLst>
  </connection>
  <connection id="5" xr16:uid="{D4C58494-3797-400A-9FCC-F925F9218575}"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<sst xmlns="http://schemas.openxmlformats.org/spreadsheetml/2006/main" count="522" uniqueCount="159">
  <si>
    <t>Client A</t>
  </si>
  <si>
    <t>Client B</t>
  </si>
  <si>
    <t>Client C</t>
  </si>
  <si>
    <t>CONTROLS</t>
  </si>
  <si>
    <t>Row Labels</t>
  </si>
  <si>
    <t>Grand Total</t>
  </si>
  <si>
    <t>Sum of Cost</t>
  </si>
  <si>
    <t>Late Refresh Date:</t>
  </si>
  <si>
    <t>Paid</t>
  </si>
  <si>
    <t>Pending</t>
  </si>
  <si>
    <t>Status</t>
  </si>
  <si>
    <t>Ticket_ID</t>
  </si>
  <si>
    <t>Date</t>
  </si>
  <si>
    <t>Client</t>
  </si>
  <si>
    <t>Issue_Type</t>
  </si>
  <si>
    <t>Priority</t>
  </si>
  <si>
    <t>System</t>
  </si>
  <si>
    <t>CRM001</t>
  </si>
  <si>
    <t>Login issue</t>
  </si>
  <si>
    <t>Open</t>
  </si>
  <si>
    <t>High</t>
  </si>
  <si>
    <t>CRM</t>
  </si>
  <si>
    <t>CRM002</t>
  </si>
  <si>
    <t>Billing error</t>
  </si>
  <si>
    <t>Closed</t>
  </si>
  <si>
    <t>Medium</t>
  </si>
  <si>
    <t>CRM003</t>
  </si>
  <si>
    <t>Access issue</t>
  </si>
  <si>
    <t>Low</t>
  </si>
  <si>
    <t>Invoice_ID</t>
  </si>
  <si>
    <t>Hours</t>
  </si>
  <si>
    <t>Cost</t>
  </si>
  <si>
    <t>INV001</t>
  </si>
  <si>
    <t>Facturador</t>
  </si>
  <si>
    <t>INV002</t>
  </si>
  <si>
    <t>INV003</t>
  </si>
  <si>
    <t>CRM004</t>
  </si>
  <si>
    <t>Client D</t>
  </si>
  <si>
    <t>Test</t>
  </si>
  <si>
    <t>Date (Month Index)</t>
  </si>
  <si>
    <t>Date (Month)</t>
  </si>
  <si>
    <t>jan</t>
  </si>
  <si>
    <t>fev</t>
  </si>
  <si>
    <t>Client Count</t>
  </si>
  <si>
    <t>Open Tickets</t>
  </si>
  <si>
    <t>Total Cost</t>
  </si>
  <si>
    <t>Total Cost Goal</t>
  </si>
  <si>
    <t>Total Cost Status</t>
  </si>
  <si>
    <t>Duplicate Check CRM_EXPORT</t>
  </si>
  <si>
    <t>INV004</t>
  </si>
  <si>
    <t>Count of Ticket_ID</t>
  </si>
  <si>
    <t>Tickets</t>
  </si>
  <si>
    <t>CRM005</t>
  </si>
  <si>
    <t>Client E</t>
  </si>
  <si>
    <t>Meter data issue</t>
  </si>
  <si>
    <t>CRM006</t>
  </si>
  <si>
    <t>Client F</t>
  </si>
  <si>
    <t>Customer portal access</t>
  </si>
  <si>
    <t>Resolved</t>
  </si>
  <si>
    <t>CRM007</t>
  </si>
  <si>
    <t>Client G</t>
  </si>
  <si>
    <t>Billing discrepancy</t>
  </si>
  <si>
    <t>CRM008</t>
  </si>
  <si>
    <t>Client H</t>
  </si>
  <si>
    <t>Service interruption</t>
  </si>
  <si>
    <t>In Progress</t>
  </si>
  <si>
    <t>Critical</t>
  </si>
  <si>
    <t>CRM009</t>
  </si>
  <si>
    <t>Client I</t>
  </si>
  <si>
    <t>CRM sync error</t>
  </si>
  <si>
    <t>CRM010</t>
  </si>
  <si>
    <t>Client J</t>
  </si>
  <si>
    <t>Contract update request</t>
  </si>
  <si>
    <t>CRM011</t>
  </si>
  <si>
    <t>Client K</t>
  </si>
  <si>
    <t>Invoice delay</t>
  </si>
  <si>
    <t>CRM012</t>
  </si>
  <si>
    <t>Client L</t>
  </si>
  <si>
    <t>Account access issue</t>
  </si>
  <si>
    <t>CRM013</t>
  </si>
  <si>
    <t>Client M</t>
  </si>
  <si>
    <t>CRM014</t>
  </si>
  <si>
    <t>Client N</t>
  </si>
  <si>
    <t>CRM015</t>
  </si>
  <si>
    <t>Client O</t>
  </si>
  <si>
    <t>CRM016</t>
  </si>
  <si>
    <t>Client P</t>
  </si>
  <si>
    <t>CRM017</t>
  </si>
  <si>
    <t>Client Q</t>
  </si>
  <si>
    <t>CRM018</t>
  </si>
  <si>
    <t>Client R</t>
  </si>
  <si>
    <t>mar</t>
  </si>
  <si>
    <t>CRM019</t>
  </si>
  <si>
    <t>Client S</t>
  </si>
  <si>
    <t>CRM020</t>
  </si>
  <si>
    <t>Client T</t>
  </si>
  <si>
    <t>CRM021</t>
  </si>
  <si>
    <t>Client U</t>
  </si>
  <si>
    <t>CRM022</t>
  </si>
  <si>
    <t>Client V</t>
  </si>
  <si>
    <t>CRM023</t>
  </si>
  <si>
    <t>Client W</t>
  </si>
  <si>
    <t>CRM024</t>
  </si>
  <si>
    <t>Client X</t>
  </si>
  <si>
    <t>CRM025</t>
  </si>
  <si>
    <t>Client Y</t>
  </si>
  <si>
    <t>CRM026</t>
  </si>
  <si>
    <t>Client Z</t>
  </si>
  <si>
    <t>CRM027</t>
  </si>
  <si>
    <t>CRM028</t>
  </si>
  <si>
    <t>CRM029</t>
  </si>
  <si>
    <t>CRM030</t>
  </si>
  <si>
    <t>CRM031</t>
  </si>
  <si>
    <t>CRM032</t>
  </si>
  <si>
    <t>CRM033</t>
  </si>
  <si>
    <t>CRM034</t>
  </si>
  <si>
    <t>Client AA</t>
  </si>
  <si>
    <t>Client BB</t>
  </si>
  <si>
    <t>Client CC</t>
  </si>
  <si>
    <t>Client DD</t>
  </si>
  <si>
    <t>Client EE</t>
  </si>
  <si>
    <t>Client FF</t>
  </si>
  <si>
    <t>Client GG</t>
  </si>
  <si>
    <t>Client HH</t>
  </si>
  <si>
    <t>INV005</t>
  </si>
  <si>
    <t>INV006</t>
  </si>
  <si>
    <t>INV007</t>
  </si>
  <si>
    <t>INV008</t>
  </si>
  <si>
    <t>INV009</t>
  </si>
  <si>
    <t>INV010</t>
  </si>
  <si>
    <t>INV011</t>
  </si>
  <si>
    <t>INV012</t>
  </si>
  <si>
    <t>INV013</t>
  </si>
  <si>
    <t>INV014</t>
  </si>
  <si>
    <t>INV015</t>
  </si>
  <si>
    <t>INV016</t>
  </si>
  <si>
    <t>INV017</t>
  </si>
  <si>
    <t>INV018</t>
  </si>
  <si>
    <t>INV019</t>
  </si>
  <si>
    <t>INV020</t>
  </si>
  <si>
    <t>INV021</t>
  </si>
  <si>
    <t>INV022</t>
  </si>
  <si>
    <t>INV023</t>
  </si>
  <si>
    <t>INV024</t>
  </si>
  <si>
    <t>INV025</t>
  </si>
  <si>
    <t>INV026</t>
  </si>
  <si>
    <t>INV027</t>
  </si>
  <si>
    <t>INV028</t>
  </si>
  <si>
    <t>INV029</t>
  </si>
  <si>
    <t>INV030</t>
  </si>
  <si>
    <t>INV031</t>
  </si>
  <si>
    <t>INV032</t>
  </si>
  <si>
    <t>INV033</t>
  </si>
  <si>
    <t>INV034</t>
  </si>
  <si>
    <t>Total Workload</t>
  </si>
  <si>
    <t>Sum of Hours</t>
  </si>
  <si>
    <t xml:space="preserve"> DASHBOARD - Operations Tracker </t>
  </si>
  <si>
    <t>Client and Billing Overview</t>
  </si>
  <si>
    <t>Hourly Rate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</si>
</sst>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 &quot;€&quot;"/>
    <numFmt numFmtId="168" formatCode="#,##0\ &quot;€&quot;;\-#,##0\ &quot;€&quot;;#,##0\ &quot;€&quot;"/>
  </numFmts>
  <fonts count="11" x14ac:knownFonts="1">
    <font>
      <sz val="11"/>
      <color theme="1"/>
      <name val="Aptos Narrow"/>
      <family val="2"/>
      <scheme val="minor"/>
    </font>
    <font>
      <b/>
      <sz val="11"/>
      <color theme="1"/>
      <name val="Aptos Narrow"/>
      <family val="2"/>
      <scheme val="minor"/>
    </font>
    <font>
      <sz val="11"/>
      <color rgb="FF000000"/>
      <name val="Aptos Narrow"/>
      <family val="2"/>
    </font>
    <font>
      <b/>
      <sz val="24"/>
      <color rgb="FF1F4E79"/>
      <name val="Aptos Narrow"/>
      <family val="2"/>
      <scheme val="minor"/>
    </font>
    <font>
      <b/>
      <sz val="10"/>
      <color theme="1"/>
      <name val="Aptos Narrow"/>
      <family val="2"/>
      <scheme val="minor"/>
    </font>
    <font>
      <b/>
      <sz val="11"/>
      <color rgb="FFFFFFFF"/>
      <name val="Aptos Narrow"/>
      <family val="2"/>
      <scheme val="minor"/>
    </font>
    <font>
      <i/>
      <sz val="12"/>
      <color rgb="FF666666"/>
      <name val="Aptos Narrow"/>
      <family val="2"/>
      <scheme val="minor"/>
    </font>
    <font>
      <b/>
      <sz val="12"/>
      <color theme="0"/>
      <name val="Aptos Narrow"/>
      <family val="2"/>
      <scheme val="minor"/>
    </font>
    <font>
      <sz val="9"/>
      <color theme="1"/>
      <name val="Aptos Narrow"/>
      <family val="2"/>
      <scheme val="minor"/>
    </font>
    <font>
      <sz val="11"/>
      <color theme="0"/>
      <name val="Aptos Narrow"/>
      <family val="2"/>
      <scheme val="minor"/>
    </font>
    <font>
      <sz val="8"/>
      <name val="Aptos Narrow"/>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theme="3" tint="0.249977111117893"/>
        <bgColor indexed="64"/>
      </patternFill>
    </fill>
  </fills>
  <borders count="9">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32">
    <xf numFmtId="0" fontId="0" fillId="0" borderId="0" xfId="0"/>
    <xf numFmtId="0" fontId="1" fillId="0" borderId="0" xfId="0" applyFont="1" applyAlignment="1">
      <alignment horizontal="center" vertical="center" wrapText="1"/>
    </xf>
    <xf numFmtId="0" fontId="0" fillId="0" borderId="0" xfId="0" pivotButton="1"/>
    <xf numFmtId="0" fontId="0" fillId="0" borderId="0" xfId="0" applyAlignment="1">
      <alignment horizontal="left"/>
    </xf>
    <xf numFmtId="0" fontId="1" fillId="0" borderId="0" xfId="0" applyFont="1"/>
    <xf numFmtId="14" fontId="0" fillId="0" borderId="0" xfId="0" applyNumberFormat="1"/>
    <xf numFmtId="0" fontId="0" fillId="2" borderId="0" xfId="0" applyFill="1" applyAlignment="1">
      <alignment vertical="center"/>
    </xf>
    <xf numFmtId="0" fontId="0" fillId="2" borderId="0" xfId="0" applyFill="1"/>
    <xf numFmtId="0" fontId="4" fillId="2" borderId="0" xfId="0" applyFont="1" applyFill="1" applyAlignment="1">
      <alignment vertical="center"/>
    </xf>
    <xf numFmtId="0" fontId="6" fillId="2" borderId="0" xfId="0" applyFont="1" applyFill="1" applyAlignment="1">
      <alignment vertical="center"/>
    </xf>
    <xf numFmtId="0" fontId="8" fillId="2" borderId="0" xfId="0" applyFont="1" applyFill="1" applyAlignment="1">
      <alignment vertical="center"/>
    </xf>
    <xf numFmtId="164" fontId="8" fillId="2" borderId="0" xfId="0" applyNumberFormat="1" applyFont="1" applyFill="1" applyAlignment="1">
      <alignment vertical="center"/>
    </xf>
    <xf numFmtId="0" fontId="5" fillId="2" borderId="4" xfId="0" applyFont="1" applyFill="1" applyBorder="1" applyAlignment="1">
      <alignment horizontal="center" vertical="center"/>
    </xf>
    <xf numFmtId="0" fontId="0" fillId="2" borderId="6" xfId="0" applyFill="1" applyBorder="1"/>
    <xf numFmtId="0" fontId="0" fillId="2" borderId="5" xfId="0" applyFill="1" applyBorder="1"/>
    <xf numFmtId="0" fontId="5" fillId="2" borderId="3" xfId="0" applyFont="1" applyFill="1" applyBorder="1" applyAlignment="1">
      <alignment horizontal="center" vertical="center"/>
    </xf>
    <xf numFmtId="22" fontId="0" fillId="2" borderId="0" xfId="0" applyNumberFormat="1" applyFill="1"/>
    <xf numFmtId="0" fontId="7" fillId="3" borderId="7" xfId="0" applyFont="1" applyFill="1" applyBorder="1" applyAlignment="1">
      <alignment horizontal="center" vertical="center"/>
    </xf>
    <xf numFmtId="0" fontId="7" fillId="3" borderId="8" xfId="0" applyFont="1" applyFill="1" applyBorder="1" applyAlignment="1">
      <alignment horizontal="center" vertical="center"/>
    </xf>
    <xf numFmtId="0" fontId="0" fillId="0" borderId="0" xfId="0" applyNumberFormat="1"/>
    <xf numFmtId="0" fontId="0" fillId="0" borderId="0" xfId="0" applyNumberFormat="1" applyAlignment="1">
      <alignment horizontal="center" vertical="center" wrapText="1"/>
    </xf>
    <xf numFmtId="1" fontId="0" fillId="0" borderId="0" xfId="0" applyNumberFormat="1" applyAlignment="1">
      <alignment horizontal="center" vertical="center"/>
    </xf>
    <xf numFmtId="0" fontId="0" fillId="0" borderId="0" xfId="0" applyNumberFormat="1" applyAlignment="1">
      <alignment horizontal="center" vertical="center"/>
    </xf>
    <xf numFmtId="168" fontId="0" fillId="0" borderId="0" xfId="0" applyNumberFormat="1" applyAlignment="1">
      <alignment horizontal="center" vertical="center"/>
    </xf>
    <xf numFmtId="0" fontId="0" fillId="0" borderId="0" xfId="0" applyNumberFormat="1" applyAlignment="1">
      <alignment vertical="center" wrapText="1"/>
    </xf>
    <xf numFmtId="0" fontId="3" fillId="2" borderId="0" xfId="0" applyFont="1" applyFill="1" applyAlignment="1">
      <alignment vertical="center"/>
    </xf>
    <xf numFmtId="22" fontId="0" fillId="2" borderId="0" xfId="0" applyNumberFormat="1" applyFill="1" applyAlignment="1">
      <alignment horizontal="center" vertical="center"/>
    </xf>
    <xf numFmtId="0" fontId="4" fillId="2" borderId="0" xfId="0" applyFont="1" applyFill="1" applyAlignment="1">
      <alignment horizontal="right" vertical="center"/>
    </xf>
    <xf numFmtId="0" fontId="0" fillId="2" borderId="1" xfId="0" applyFill="1" applyBorder="1" applyAlignment="1">
      <alignment vertical="center"/>
    </xf>
    <xf numFmtId="0" fontId="0" fillId="2" borderId="2" xfId="0" applyFill="1" applyBorder="1" applyAlignment="1">
      <alignment vertical="center"/>
    </xf>
    <xf numFmtId="0" fontId="8" fillId="2" borderId="4" xfId="0" applyFont="1" applyFill="1" applyBorder="1" applyAlignment="1">
      <alignment vertical="center"/>
    </xf>
    <xf numFmtId="0" fontId="9" fillId="3" borderId="0" xfId="0" applyFont="1" applyFill="1" applyAlignment="1">
      <alignment horizontal="center" vertical="center"/>
    </xf>
  </cellXfs>
  <cellStyles count="1">
    <cellStyle name="Normal" xfId="0" builtinId="0"/>
  </cellStyles>
  <dxfs count="18">
    <dxf>
      <numFmt numFmtId="0" formatCode="General"/>
    </dxf>
    <dxf>
      <numFmt numFmtId="0" formatCode="General"/>
      <alignment horizontal="general" vertical="center" textRotation="0" wrapText="1" indent="0" justifyLastLine="0" shrinkToFit="0" readingOrder="0"/>
    </dxf>
    <dxf>
      <numFmt numFmtId="0" formatCode="General"/>
    </dxf>
    <dxf>
      <numFmt numFmtId="0" formatCode="General"/>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dxf>
    <dxf>
      <numFmt numFmtId="0" formatCode="General"/>
    </dxf>
    <dxf>
      <numFmt numFmtId="0" formatCode="General"/>
    </dxf>
    <dxf>
      <numFmt numFmtId="19" formatCode="dd/mm/yyyy"/>
    </dxf>
    <dxf>
      <numFmt numFmtId="0" formatCode="General"/>
    </dxf>
    <dxf>
      <alignment horizontal="center"/>
    </dxf>
    <dxf>
      <alignment vertical="center"/>
    </dxf>
    <dxf>
      <alignment horizontal="center"/>
    </dxf>
    <dxf>
      <alignment vertical="center"/>
    </dxf>
    <dxf>
      <fill>
        <patternFill patternType="solid">
          <bgColor theme="4" tint="-0.249977111117893"/>
        </patternFill>
      </fill>
    </dxf>
    <dxf>
      <fill>
        <patternFill>
          <bgColor theme="3" tint="0.249977111117893"/>
        </patternFill>
      </fill>
    </dxf>
    <dxf>
      <font>
        <color theme="0"/>
      </font>
    </dxf>
  </dxfs>
  <tableStyles count="0" defaultTableStyle="TableStyleMedium2" defaultPivotStyle="PivotStyleLight16"/>
  <colors>
    <mruColors>
      <color rgb="FFF599EE"/>
      <color rgb="FFFDE8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2.xml"/><Relationship Id="rId18" Type="http://schemas.openxmlformats.org/officeDocument/2006/relationships/theme" Target="theme/theme1.xml"/><Relationship Id="rId26" Type="http://schemas.openxmlformats.org/officeDocument/2006/relationships/customXml" Target="../customXml/item1.xml"/><Relationship Id="rId39" Type="http://schemas.openxmlformats.org/officeDocument/2006/relationships/customXml" Target="../customXml/item14.xml"/><Relationship Id="rId21" Type="http://schemas.openxmlformats.org/officeDocument/2006/relationships/sharedStrings" Target="sharedStrings.xml"/><Relationship Id="rId34" Type="http://schemas.openxmlformats.org/officeDocument/2006/relationships/customXml" Target="../customXml/item9.xml"/><Relationship Id="rId42" Type="http://schemas.openxmlformats.org/officeDocument/2006/relationships/customXml" Target="../customXml/item17.xml"/><Relationship Id="rId47" Type="http://schemas.openxmlformats.org/officeDocument/2006/relationships/customXml" Target="../customXml/item22.xml"/><Relationship Id="rId50" Type="http://schemas.microsoft.com/office/2006/relationships/vbaProject" Target="vbaProject.bin"/><Relationship Id="rId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Table" Target="pivotTables/pivotTable1.xml"/><Relationship Id="rId29" Type="http://schemas.openxmlformats.org/officeDocument/2006/relationships/customXml" Target="../customXml/item4.xml"/><Relationship Id="rId11" Type="http://schemas.openxmlformats.org/officeDocument/2006/relationships/pivotCacheDefinition" Target="pivotCache/pivotCacheDefinition6.xml"/><Relationship Id="rId24" Type="http://schemas.microsoft.com/office/2017/10/relationships/person" Target="persons/person.xml"/><Relationship Id="rId32" Type="http://schemas.openxmlformats.org/officeDocument/2006/relationships/customXml" Target="../customXml/item7.xml"/><Relationship Id="rId37" Type="http://schemas.openxmlformats.org/officeDocument/2006/relationships/customXml" Target="../customXml/item12.xml"/><Relationship Id="rId40" Type="http://schemas.openxmlformats.org/officeDocument/2006/relationships/customXml" Target="../customXml/item15.xml"/><Relationship Id="rId45" Type="http://schemas.openxmlformats.org/officeDocument/2006/relationships/customXml" Target="../customXml/item20.xml"/><Relationship Id="rId5" Type="http://schemas.openxmlformats.org/officeDocument/2006/relationships/worksheet" Target="worksheets/sheet5.xml"/><Relationship Id="rId15" Type="http://schemas.openxmlformats.org/officeDocument/2006/relationships/pivotCacheDefinition" Target="pivotCache/pivotCacheDefinition8.xml"/><Relationship Id="rId23" Type="http://schemas.openxmlformats.org/officeDocument/2006/relationships/powerPivotData" Target="model/item.data"/><Relationship Id="rId28" Type="http://schemas.openxmlformats.org/officeDocument/2006/relationships/customXml" Target="../customXml/item3.xml"/><Relationship Id="rId36" Type="http://schemas.openxmlformats.org/officeDocument/2006/relationships/customXml" Target="../customXml/item11.xml"/><Relationship Id="rId49" Type="http://schemas.openxmlformats.org/officeDocument/2006/relationships/customXml" Target="../customXml/item24.xml"/><Relationship Id="rId10" Type="http://schemas.openxmlformats.org/officeDocument/2006/relationships/pivotCacheDefinition" Target="pivotCache/pivotCacheDefinition5.xml"/><Relationship Id="rId19" Type="http://schemas.openxmlformats.org/officeDocument/2006/relationships/connections" Target="connections.xml"/><Relationship Id="rId31" Type="http://schemas.openxmlformats.org/officeDocument/2006/relationships/customXml" Target="../customXml/item6.xml"/><Relationship Id="rId44" Type="http://schemas.openxmlformats.org/officeDocument/2006/relationships/customXml" Target="../customXml/item19.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pivotCacheDefinition" Target="pivotCache/pivotCacheDefinition7.xml"/><Relationship Id="rId22" Type="http://schemas.openxmlformats.org/officeDocument/2006/relationships/sheetMetadata" Target="metadata.xml"/><Relationship Id="rId27" Type="http://schemas.openxmlformats.org/officeDocument/2006/relationships/customXml" Target="../customXml/item2.xml"/><Relationship Id="rId30" Type="http://schemas.openxmlformats.org/officeDocument/2006/relationships/customXml" Target="../customXml/item5.xml"/><Relationship Id="rId35" Type="http://schemas.openxmlformats.org/officeDocument/2006/relationships/customXml" Target="../customXml/item10.xml"/><Relationship Id="rId43" Type="http://schemas.openxmlformats.org/officeDocument/2006/relationships/customXml" Target="../customXml/item18.xml"/><Relationship Id="rId48" Type="http://schemas.openxmlformats.org/officeDocument/2006/relationships/customXml" Target="../customXml/item23.xml"/><Relationship Id="rId8" Type="http://schemas.openxmlformats.org/officeDocument/2006/relationships/pivotCacheDefinition" Target="pivotCache/pivotCacheDefinition3.xml"/><Relationship Id="rId3" Type="http://schemas.openxmlformats.org/officeDocument/2006/relationships/worksheet" Target="worksheets/sheet3.xml"/><Relationship Id="rId12" Type="http://schemas.microsoft.com/office/2007/relationships/slicerCache" Target="slicerCaches/slicerCache1.xml"/><Relationship Id="rId17" Type="http://schemas.openxmlformats.org/officeDocument/2006/relationships/pivotTable" Target="pivotTables/pivotTable2.xml"/><Relationship Id="rId25" Type="http://schemas.openxmlformats.org/officeDocument/2006/relationships/calcChain" Target="calcChain.xml"/><Relationship Id="rId33" Type="http://schemas.openxmlformats.org/officeDocument/2006/relationships/customXml" Target="../customXml/item8.xml"/><Relationship Id="rId38" Type="http://schemas.openxmlformats.org/officeDocument/2006/relationships/customXml" Target="../customXml/item13.xml"/><Relationship Id="rId46" Type="http://schemas.openxmlformats.org/officeDocument/2006/relationships/customXml" Target="../customXml/item21.xml"/><Relationship Id="rId20" Type="http://schemas.openxmlformats.org/officeDocument/2006/relationships/styles" Target="styles.xml"/><Relationship Id="rId41" Type="http://schemas.openxmlformats.org/officeDocument/2006/relationships/customXml" Target="../customXml/item16.xml"/><Relationship Id="rId1" Type="http://schemas.openxmlformats.org/officeDocument/2006/relationships/worksheet" Target="worksheets/sheet1.xml"/><Relationship Id="rId6" Type="http://schemas.openxmlformats.org/officeDocument/2006/relationships/pivotCacheDefinition" Target="pivotCache/pivotCacheDefinition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GB" sz="1400" b="1" i="0" u="none" strike="noStrike" baseline="0"/>
              <a:t>Billing Distribution</a:t>
            </a:r>
            <a:endParaRPr lang="en-US" b="1"/>
          </a:p>
        </c:rich>
      </c:tx>
      <c:layout>
        <c:manualLayout>
          <c:xMode val="edge"/>
          <c:yMode val="edge"/>
          <c:x val="0.33130564561782722"/>
          <c:y val="5.249343832020998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4">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34"/>
              <c:pt idx="0">
                <c:v>Client A</c:v>
              </c:pt>
              <c:pt idx="1">
                <c:v>Client AA</c:v>
              </c:pt>
              <c:pt idx="2">
                <c:v>Client B</c:v>
              </c:pt>
              <c:pt idx="3">
                <c:v>Client BB</c:v>
              </c:pt>
              <c:pt idx="4">
                <c:v>Client C</c:v>
              </c:pt>
              <c:pt idx="5">
                <c:v>Client CC</c:v>
              </c:pt>
              <c:pt idx="6">
                <c:v>Client D</c:v>
              </c:pt>
              <c:pt idx="7">
                <c:v>Client DD</c:v>
              </c:pt>
              <c:pt idx="8">
                <c:v>Client E</c:v>
              </c:pt>
              <c:pt idx="9">
                <c:v>Client EE</c:v>
              </c:pt>
              <c:pt idx="10">
                <c:v>Client F</c:v>
              </c:pt>
              <c:pt idx="11">
                <c:v>Client FF</c:v>
              </c:pt>
              <c:pt idx="12">
                <c:v>Client G</c:v>
              </c:pt>
              <c:pt idx="13">
                <c:v>Client GG</c:v>
              </c:pt>
              <c:pt idx="14">
                <c:v>Client H</c:v>
              </c:pt>
              <c:pt idx="15">
                <c:v>Client HH</c:v>
              </c:pt>
              <c:pt idx="16">
                <c:v>Client I</c:v>
              </c:pt>
              <c:pt idx="17">
                <c:v>Client J</c:v>
              </c:pt>
              <c:pt idx="18">
                <c:v>Client K</c:v>
              </c:pt>
              <c:pt idx="19">
                <c:v>Client L</c:v>
              </c:pt>
              <c:pt idx="20">
                <c:v>Client M</c:v>
              </c:pt>
              <c:pt idx="21">
                <c:v>Client N</c:v>
              </c:pt>
              <c:pt idx="22">
                <c:v>Client O</c:v>
              </c:pt>
              <c:pt idx="23">
                <c:v>Client P</c:v>
              </c:pt>
              <c:pt idx="24">
                <c:v>Client Q</c:v>
              </c:pt>
              <c:pt idx="25">
                <c:v>Client R</c:v>
              </c:pt>
              <c:pt idx="26">
                <c:v>Client S</c:v>
              </c:pt>
              <c:pt idx="27">
                <c:v>Client T</c:v>
              </c:pt>
              <c:pt idx="28">
                <c:v>Client U</c:v>
              </c:pt>
              <c:pt idx="29">
                <c:v>Client V</c:v>
              </c:pt>
              <c:pt idx="30">
                <c:v>Client W</c:v>
              </c:pt>
              <c:pt idx="31">
                <c:v>Client X</c:v>
              </c:pt>
              <c:pt idx="32">
                <c:v>Client Y</c:v>
              </c:pt>
              <c:pt idx="33">
                <c:v>Client Z</c:v>
              </c:pt>
            </c:strLit>
          </c:cat>
          <c:val>
            <c:numLit>
              <c:formatCode>General</c:formatCode>
              <c:ptCount val="34"/>
              <c:pt idx="0">
                <c:v>250</c:v>
              </c:pt>
              <c:pt idx="1">
                <c:v>100</c:v>
              </c:pt>
              <c:pt idx="2">
                <c:v>150</c:v>
              </c:pt>
              <c:pt idx="3">
                <c:v>50</c:v>
              </c:pt>
              <c:pt idx="4">
                <c:v>400</c:v>
              </c:pt>
              <c:pt idx="5">
                <c:v>300</c:v>
              </c:pt>
              <c:pt idx="6">
                <c:v>100</c:v>
              </c:pt>
              <c:pt idx="7">
                <c:v>400</c:v>
              </c:pt>
              <c:pt idx="8">
                <c:v>75</c:v>
              </c:pt>
              <c:pt idx="9">
                <c:v>350</c:v>
              </c:pt>
              <c:pt idx="10">
                <c:v>100</c:v>
              </c:pt>
              <c:pt idx="11">
                <c:v>450</c:v>
              </c:pt>
              <c:pt idx="12">
                <c:v>50</c:v>
              </c:pt>
              <c:pt idx="13">
                <c:v>300</c:v>
              </c:pt>
              <c:pt idx="14">
                <c:v>75</c:v>
              </c:pt>
              <c:pt idx="15">
                <c:v>100</c:v>
              </c:pt>
              <c:pt idx="16">
                <c:v>300</c:v>
              </c:pt>
              <c:pt idx="17">
                <c:v>350</c:v>
              </c:pt>
              <c:pt idx="18">
                <c:v>500</c:v>
              </c:pt>
              <c:pt idx="19">
                <c:v>400</c:v>
              </c:pt>
              <c:pt idx="20">
                <c:v>450</c:v>
              </c:pt>
              <c:pt idx="21">
                <c:v>750</c:v>
              </c:pt>
              <c:pt idx="22">
                <c:v>100</c:v>
              </c:pt>
              <c:pt idx="23">
                <c:v>400</c:v>
              </c:pt>
              <c:pt idx="24">
                <c:v>50</c:v>
              </c:pt>
              <c:pt idx="25">
                <c:v>150</c:v>
              </c:pt>
              <c:pt idx="26">
                <c:v>150</c:v>
              </c:pt>
              <c:pt idx="27">
                <c:v>100</c:v>
              </c:pt>
              <c:pt idx="28">
                <c:v>200</c:v>
              </c:pt>
              <c:pt idx="29">
                <c:v>350</c:v>
              </c:pt>
              <c:pt idx="30">
                <c:v>400</c:v>
              </c:pt>
              <c:pt idx="31">
                <c:v>750</c:v>
              </c:pt>
              <c:pt idx="32">
                <c:v>600</c:v>
              </c:pt>
              <c:pt idx="33">
                <c:v>25</c:v>
              </c:pt>
            </c:numLit>
          </c:val>
          <c:extLst>
            <c:ext xmlns:c16="http://schemas.microsoft.com/office/drawing/2014/chart" uri="{C3380CC4-5D6E-409C-BE32-E72D297353CC}">
              <c16:uniqueId val="{00000000-FB05-4778-B33D-5EF82D3F9914}"/>
            </c:ext>
          </c:extLst>
        </c:ser>
        <c:dLbls>
          <c:showLegendKey val="0"/>
          <c:showVal val="0"/>
          <c:showCatName val="0"/>
          <c:showSerName val="0"/>
          <c:showPercent val="0"/>
          <c:showBubbleSize val="0"/>
        </c:dLbls>
        <c:gapWidth val="30"/>
        <c:overlap val="-27"/>
        <c:axId val="650885167"/>
        <c:axId val="650886127"/>
      </c:barChart>
      <c:catAx>
        <c:axId val="650885167"/>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0886127"/>
        <c:crosses val="autoZero"/>
        <c:auto val="1"/>
        <c:lblAlgn val="ctr"/>
        <c:lblOffset val="100"/>
        <c:noMultiLvlLbl val="0"/>
        <c:extLst>
          <c:ext xmlns:c15="http://schemas.microsoft.com/office/drawing/2012/chart" uri="{F40574EE-89B7-4290-83BB-5DA773EAF853}">
            <c15:numFmt c:formatCode="General" c:sourceLinked="1"/>
          </c:ext>
        </c:extLst>
      </c:catAx>
      <c:valAx>
        <c:axId val="650886127"/>
        <c:scaling>
          <c:orientation val="minMax"/>
        </c:scaling>
        <c:delete val="1"/>
        <c:axPos val="l"/>
        <c:numFmt formatCode="General" sourceLinked="0"/>
        <c:majorTickMark val="none"/>
        <c:minorTickMark val="none"/>
        <c:tickLblPos val="nextTo"/>
        <c:crossAx val="650885167"/>
        <c:crosses val="autoZero"/>
        <c:crossBetween val="between"/>
        <c:extLst>
          <c:ext xmlns:c15="http://schemas.microsoft.com/office/drawing/2012/chart" uri="{F40574EE-89B7-4290-83BB-5DA773EAF853}">
            <c15:numFmt c:formatCode="General" c:sourceLinked="1"/>
          </c:ext>
        </c:extLs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[Energy_Operations_Tracker.xlsm]PivotChartTable1</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GB" sz="1400" b="1" i="0" u="none" strike="noStrike" baseline="0"/>
              <a:t>Status breakdown</a:t>
            </a:r>
            <a:endParaRPr lang="en-US" b="1"/>
          </a:p>
        </c:rich>
      </c:tx>
      <c:layout>
        <c:manualLayout>
          <c:xMode val="edge"/>
          <c:yMode val="edge"/>
          <c:x val="0.33607995229646576"/>
          <c:y val="2.565500568467589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lumMod val="40000"/>
              <a:lumOff val="60000"/>
            </a:schemeClr>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3">
              <a:lumMod val="60000"/>
              <a:lumOff val="40000"/>
            </a:schemeClr>
          </a:solidFill>
          <a:ln>
            <a:noFill/>
          </a:ln>
          <a:effectLst/>
        </c:spPr>
      </c:pivotFmt>
      <c:pivotFmt>
        <c:idx val="4"/>
        <c:spPr>
          <a:solidFill>
            <a:schemeClr val="accent2">
              <a:lumMod val="60000"/>
              <a:lumOff val="40000"/>
            </a:schemeClr>
          </a:solidFill>
          <a:ln>
            <a:noFill/>
          </a:ln>
          <a:effectLst/>
        </c:spPr>
      </c:pivotFmt>
    </c:pivotFmts>
    <c:plotArea>
      <c:layout/>
      <c:pieChart>
        <c:varyColors val="1"/>
        <c:ser>
          <c:idx val="0"/>
          <c:order val="0"/>
          <c:tx>
            <c:v>Total</c:v>
          </c:tx>
          <c:spPr>
            <a:solidFill>
              <a:schemeClr val="accent3">
                <a:lumMod val="40000"/>
                <a:lumOff val="60000"/>
              </a:schemeClr>
            </a:solidFill>
          </c:spPr>
          <c:dPt>
            <c:idx val="0"/>
            <c:bubble3D val="0"/>
            <c:spPr>
              <a:solidFill>
                <a:schemeClr val="accent3">
                  <a:lumMod val="60000"/>
                  <a:lumOff val="40000"/>
                </a:schemeClr>
              </a:solidFill>
              <a:ln>
                <a:noFill/>
              </a:ln>
              <a:effectLst/>
            </c:spPr>
            <c:extLst>
              <c:ext xmlns:c16="http://schemas.microsoft.com/office/drawing/2014/chart" uri="{C3380CC4-5D6E-409C-BE32-E72D297353CC}">
                <c16:uniqueId val="{00000001-9021-4FD7-8ECC-E3F409531733}"/>
              </c:ext>
            </c:extLst>
          </c:dPt>
          <c:dPt>
            <c:idx val="1"/>
            <c:bubble3D val="0"/>
            <c:spPr>
              <a:solidFill>
                <a:schemeClr val="accent2">
                  <a:lumMod val="60000"/>
                  <a:lumOff val="40000"/>
                </a:schemeClr>
              </a:solidFill>
              <a:ln>
                <a:noFill/>
              </a:ln>
              <a:effectLst/>
            </c:spPr>
            <c:extLst>
              <c:ext xmlns:c16="http://schemas.microsoft.com/office/drawing/2014/chart" uri="{C3380CC4-5D6E-409C-BE32-E72D297353CC}">
                <c16:uniqueId val="{00000003-9021-4FD7-8ECC-E3F409531733}"/>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dLblPos val="ct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Lit>
              <c:ptCount val="2"/>
              <c:pt idx="0">
                <c:v>Paid</c:v>
              </c:pt>
              <c:pt idx="1">
                <c:v>Pending</c:v>
              </c:pt>
            </c:strLit>
          </c:cat>
          <c:val>
            <c:numLit>
              <c:formatCode>General</c:formatCode>
              <c:ptCount val="2"/>
              <c:pt idx="0">
                <c:v>17</c:v>
              </c:pt>
              <c:pt idx="1">
                <c:v>17</c:v>
              </c:pt>
            </c:numLit>
          </c:val>
          <c:extLst>
            <c:ext xmlns:c16="http://schemas.microsoft.com/office/drawing/2014/chart" uri="{C3380CC4-5D6E-409C-BE32-E72D297353CC}">
              <c16:uniqueId val="{00000003-9D01-4018-B142-B842CA7EC572}"/>
            </c:ext>
          </c:extLst>
        </c:ser>
        <c:dLbls>
          <c:showLegendKey val="0"/>
          <c:showVal val="0"/>
          <c:showCatName val="0"/>
          <c:showSerName val="0"/>
          <c:showPercent val="0"/>
          <c:showBubbleSize val="0"/>
          <c:showLeaderLines val="0"/>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[Energy_Operations_Tracker.xlsm]PivotChartTable3</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Client Workload Overview (TOP 5)</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tx>
            <c:strRef>
              <c:f>Pivot_Backend!$S$1</c:f>
              <c:strCache>
                <c:ptCount val="1"/>
                <c:pt idx="0">
                  <c:v>Tickets</c:v>
                </c:pt>
              </c:strCache>
            </c:strRef>
          </c:tx>
          <c:spPr>
            <a:solidFill>
              <a:srgbClr val="F599E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Pivot_Backend!$R$2:$R$6</c:f>
              <c:strCache>
                <c:ptCount val="5"/>
                <c:pt idx="0">
                  <c:v>Client N</c:v>
                </c:pt>
                <c:pt idx="1">
                  <c:v>Client X</c:v>
                </c:pt>
                <c:pt idx="2">
                  <c:v>Client Y</c:v>
                </c:pt>
                <c:pt idx="3">
                  <c:v>Client K</c:v>
                </c:pt>
                <c:pt idx="4">
                  <c:v>Client M</c:v>
                </c:pt>
              </c:strCache>
            </c:strRef>
          </c:cat>
          <c:val>
            <c:numRef>
              <c:f>Pivot_Backend!$S$2:$S$6</c:f>
              <c:numCache>
                <c:formatCode>General</c:formatCode>
                <c:ptCount val="5"/>
                <c:pt idx="0">
                  <c:v>1</c:v>
                </c:pt>
                <c:pt idx="1">
                  <c:v>1</c:v>
                </c:pt>
                <c:pt idx="2">
                  <c:v>1</c:v>
                </c:pt>
                <c:pt idx="3">
                  <c:v>1</c:v>
                </c:pt>
                <c:pt idx="4">
                  <c:v>1</c:v>
                </c:pt>
              </c:numCache>
            </c:numRef>
          </c:val>
          <c:extLst>
            <c:ext xmlns:c16="http://schemas.microsoft.com/office/drawing/2014/chart" uri="{C3380CC4-5D6E-409C-BE32-E72D297353CC}">
              <c16:uniqueId val="{00000000-466B-4FE7-A009-24DE12CD1F5A}"/>
            </c:ext>
          </c:extLst>
        </c:ser>
        <c:ser>
          <c:idx val="1"/>
          <c:order val="1"/>
          <c:tx>
            <c:strRef>
              <c:f>Pivot_Backend!$T$1</c:f>
              <c:strCache>
                <c:ptCount val="1"/>
                <c:pt idx="0">
                  <c:v>Hours</c:v>
                </c:pt>
              </c:strCache>
            </c:strRef>
          </c:tx>
          <c:spPr>
            <a:solidFill>
              <a:srgbClr val="FDE8C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Pivot_Backend!$R$2:$R$6</c:f>
              <c:strCache>
                <c:ptCount val="5"/>
                <c:pt idx="0">
                  <c:v>Client N</c:v>
                </c:pt>
                <c:pt idx="1">
                  <c:v>Client X</c:v>
                </c:pt>
                <c:pt idx="2">
                  <c:v>Client Y</c:v>
                </c:pt>
                <c:pt idx="3">
                  <c:v>Client K</c:v>
                </c:pt>
                <c:pt idx="4">
                  <c:v>Client M</c:v>
                </c:pt>
              </c:strCache>
            </c:strRef>
          </c:cat>
          <c:val>
            <c:numRef>
              <c:f>Pivot_Backend!$T$2:$T$6</c:f>
              <c:numCache>
                <c:formatCode>General</c:formatCode>
                <c:ptCount val="5"/>
                <c:pt idx="0">
                  <c:v>15</c:v>
                </c:pt>
                <c:pt idx="1">
                  <c:v>15</c:v>
                </c:pt>
                <c:pt idx="2">
                  <c:v>12</c:v>
                </c:pt>
                <c:pt idx="3">
                  <c:v>10</c:v>
                </c:pt>
                <c:pt idx="4">
                  <c:v>9</c:v>
                </c:pt>
              </c:numCache>
            </c:numRef>
          </c:val>
          <c:extLst>
            <c:ext xmlns:c16="http://schemas.microsoft.com/office/drawing/2014/chart" uri="{C3380CC4-5D6E-409C-BE32-E72D297353CC}">
              <c16:uniqueId val="{00000001-466B-4FE7-A009-24DE12CD1F5A}"/>
            </c:ext>
          </c:extLst>
        </c:ser>
        <c:dLbls>
          <c:showLegendKey val="0"/>
          <c:showVal val="0"/>
          <c:showCatName val="0"/>
          <c:showSerName val="0"/>
          <c:showPercent val="0"/>
          <c:showBubbleSize val="0"/>
        </c:dLbls>
        <c:gapWidth val="150"/>
        <c:overlap val="100"/>
        <c:axId val="1975905872"/>
        <c:axId val="1975903472"/>
      </c:barChart>
      <c:catAx>
        <c:axId val="19759058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5903472"/>
        <c:crosses val="autoZero"/>
        <c:auto val="1"/>
        <c:lblAlgn val="ctr"/>
        <c:lblOffset val="100"/>
        <c:noMultiLvlLbl val="0"/>
      </c:catAx>
      <c:valAx>
        <c:axId val="197590347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5905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[Energy_Operations_Tracker.xlsm]PivotTables_Data!PivotCostHours</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GB" b="1"/>
              <a:t>Cost vs Hours by Client</a:t>
            </a:r>
          </a:p>
        </c:rich>
      </c:tx>
      <c:layout>
        <c:manualLayout>
          <c:xMode val="edge"/>
          <c:yMode val="edge"/>
          <c:x val="0.39186417441752103"/>
          <c:y val="5.5774279260860128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DE8C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PivotTables_Data!$B$1</c:f>
              <c:strCache>
                <c:ptCount val="1"/>
                <c:pt idx="0">
                  <c:v>Sum of Hours</c:v>
                </c:pt>
              </c:strCache>
            </c:strRef>
          </c:tx>
          <c:spPr>
            <a:solidFill>
              <a:srgbClr val="FDE8C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PivotTables_Data!$A$2:$A$36</c:f>
              <c:strCache>
                <c:ptCount val="34"/>
                <c:pt idx="0">
                  <c:v>Client A</c:v>
                </c:pt>
                <c:pt idx="1">
                  <c:v>Client AA</c:v>
                </c:pt>
                <c:pt idx="2">
                  <c:v>Client B</c:v>
                </c:pt>
                <c:pt idx="3">
                  <c:v>Client BB</c:v>
                </c:pt>
                <c:pt idx="4">
                  <c:v>Client C</c:v>
                </c:pt>
                <c:pt idx="5">
                  <c:v>Client CC</c:v>
                </c:pt>
                <c:pt idx="6">
                  <c:v>Client D</c:v>
                </c:pt>
                <c:pt idx="7">
                  <c:v>Client DD</c:v>
                </c:pt>
                <c:pt idx="8">
                  <c:v>Client E</c:v>
                </c:pt>
                <c:pt idx="9">
                  <c:v>Client EE</c:v>
                </c:pt>
                <c:pt idx="10">
                  <c:v>Client F</c:v>
                </c:pt>
                <c:pt idx="11">
                  <c:v>Client FF</c:v>
                </c:pt>
                <c:pt idx="12">
                  <c:v>Client G</c:v>
                </c:pt>
                <c:pt idx="13">
                  <c:v>Client GG</c:v>
                </c:pt>
                <c:pt idx="14">
                  <c:v>Client H</c:v>
                </c:pt>
                <c:pt idx="15">
                  <c:v>Client HH</c:v>
                </c:pt>
                <c:pt idx="16">
                  <c:v>Client I</c:v>
                </c:pt>
                <c:pt idx="17">
                  <c:v>Client J</c:v>
                </c:pt>
                <c:pt idx="18">
                  <c:v>Client K</c:v>
                </c:pt>
                <c:pt idx="19">
                  <c:v>Client L</c:v>
                </c:pt>
                <c:pt idx="20">
                  <c:v>Client M</c:v>
                </c:pt>
                <c:pt idx="21">
                  <c:v>Client N</c:v>
                </c:pt>
                <c:pt idx="22">
                  <c:v>Client O</c:v>
                </c:pt>
                <c:pt idx="23">
                  <c:v>Client P</c:v>
                </c:pt>
                <c:pt idx="24">
                  <c:v>Client Q</c:v>
                </c:pt>
                <c:pt idx="25">
                  <c:v>Client R</c:v>
                </c:pt>
                <c:pt idx="26">
                  <c:v>Client S</c:v>
                </c:pt>
                <c:pt idx="27">
                  <c:v>Client T</c:v>
                </c:pt>
                <c:pt idx="28">
                  <c:v>Client U</c:v>
                </c:pt>
                <c:pt idx="29">
                  <c:v>Client V</c:v>
                </c:pt>
                <c:pt idx="30">
                  <c:v>Client W</c:v>
                </c:pt>
                <c:pt idx="31">
                  <c:v>Client X</c:v>
                </c:pt>
                <c:pt idx="32">
                  <c:v>Client Y</c:v>
                </c:pt>
                <c:pt idx="33">
                  <c:v>Client Z</c:v>
                </c:pt>
              </c:strCache>
            </c:strRef>
          </c:cat>
          <c:val>
            <c:numRef>
              <c:f>PivotTables_Data!$B$2:$B$36</c:f>
              <c:numCache>
                <c:formatCode>General</c:formatCode>
                <c:ptCount val="34"/>
                <c:pt idx="0">
                  <c:v>5</c:v>
                </c:pt>
                <c:pt idx="1">
                  <c:v>2</c:v>
                </c:pt>
                <c:pt idx="2">
                  <c:v>3</c:v>
                </c:pt>
                <c:pt idx="3">
                  <c:v>1</c:v>
                </c:pt>
                <c:pt idx="4">
                  <c:v>8</c:v>
                </c:pt>
                <c:pt idx="5">
                  <c:v>6</c:v>
                </c:pt>
                <c:pt idx="6">
                  <c:v>2</c:v>
                </c:pt>
                <c:pt idx="7">
                  <c:v>8</c:v>
                </c:pt>
                <c:pt idx="8">
                  <c:v>2</c:v>
                </c:pt>
                <c:pt idx="9">
                  <c:v>7</c:v>
                </c:pt>
                <c:pt idx="10">
                  <c:v>2</c:v>
                </c:pt>
                <c:pt idx="11">
                  <c:v>9</c:v>
                </c:pt>
                <c:pt idx="12">
                  <c:v>1</c:v>
                </c:pt>
                <c:pt idx="13">
                  <c:v>6</c:v>
                </c:pt>
                <c:pt idx="14">
                  <c:v>2</c:v>
                </c:pt>
                <c:pt idx="15">
                  <c:v>2</c:v>
                </c:pt>
                <c:pt idx="16">
                  <c:v>6</c:v>
                </c:pt>
                <c:pt idx="17">
                  <c:v>7</c:v>
                </c:pt>
                <c:pt idx="18">
                  <c:v>10</c:v>
                </c:pt>
                <c:pt idx="19">
                  <c:v>8</c:v>
                </c:pt>
                <c:pt idx="20">
                  <c:v>9</c:v>
                </c:pt>
                <c:pt idx="21">
                  <c:v>15</c:v>
                </c:pt>
                <c:pt idx="22">
                  <c:v>2</c:v>
                </c:pt>
                <c:pt idx="23">
                  <c:v>8</c:v>
                </c:pt>
                <c:pt idx="24">
                  <c:v>1</c:v>
                </c:pt>
                <c:pt idx="25">
                  <c:v>3</c:v>
                </c:pt>
                <c:pt idx="26">
                  <c:v>3</c:v>
                </c:pt>
                <c:pt idx="27">
                  <c:v>2</c:v>
                </c:pt>
                <c:pt idx="28">
                  <c:v>4</c:v>
                </c:pt>
                <c:pt idx="29">
                  <c:v>7</c:v>
                </c:pt>
                <c:pt idx="30">
                  <c:v>8</c:v>
                </c:pt>
                <c:pt idx="31">
                  <c:v>15</c:v>
                </c:pt>
                <c:pt idx="32">
                  <c:v>12</c:v>
                </c:pt>
                <c:pt idx="33">
                  <c:v>0</c:v>
                </c:pt>
              </c:numCache>
            </c:numRef>
          </c:val>
          <c:extLst>
            <c:ext xmlns:c16="http://schemas.microsoft.com/office/drawing/2014/chart" uri="{C3380CC4-5D6E-409C-BE32-E72D297353CC}">
              <c16:uniqueId val="{00000000-2842-4D7F-BBDC-D027EEC7C45D}"/>
            </c:ext>
          </c:extLst>
        </c:ser>
        <c:dLbls>
          <c:showLegendKey val="0"/>
          <c:showVal val="0"/>
          <c:showCatName val="0"/>
          <c:showSerName val="0"/>
          <c:showPercent val="0"/>
          <c:showBubbleSize val="0"/>
        </c:dLbls>
        <c:gapWidth val="30"/>
        <c:overlap val="-27"/>
        <c:axId val="1605623424"/>
        <c:axId val="1605625824"/>
      </c:barChart>
      <c:lineChart>
        <c:grouping val="standard"/>
        <c:varyColors val="0"/>
        <c:ser>
          <c:idx val="1"/>
          <c:order val="1"/>
          <c:tx>
            <c:strRef>
              <c:f>PivotTables_Data!$C$1</c:f>
              <c:strCache>
                <c:ptCount val="1"/>
                <c:pt idx="0">
                  <c:v>Sum of Cost</c:v>
                </c:pt>
              </c:strCache>
            </c:strRef>
          </c:tx>
          <c:spPr>
            <a:ln w="28575" cap="rnd">
              <a:solidFill>
                <a:srgbClr val="FF0000"/>
              </a:solidFill>
              <a:round/>
            </a:ln>
            <a:effectLst/>
          </c:spPr>
          <c:marker>
            <c:symbol val="none"/>
          </c:marker>
          <c:cat>
            <c:strRef>
              <c:f>PivotTables_Data!$A$2:$A$36</c:f>
              <c:strCache>
                <c:ptCount val="34"/>
                <c:pt idx="0">
                  <c:v>Client A</c:v>
                </c:pt>
                <c:pt idx="1">
                  <c:v>Client AA</c:v>
                </c:pt>
                <c:pt idx="2">
                  <c:v>Client B</c:v>
                </c:pt>
                <c:pt idx="3">
                  <c:v>Client BB</c:v>
                </c:pt>
                <c:pt idx="4">
                  <c:v>Client C</c:v>
                </c:pt>
                <c:pt idx="5">
                  <c:v>Client CC</c:v>
                </c:pt>
                <c:pt idx="6">
                  <c:v>Client D</c:v>
                </c:pt>
                <c:pt idx="7">
                  <c:v>Client DD</c:v>
                </c:pt>
                <c:pt idx="8">
                  <c:v>Client E</c:v>
                </c:pt>
                <c:pt idx="9">
                  <c:v>Client EE</c:v>
                </c:pt>
                <c:pt idx="10">
                  <c:v>Client F</c:v>
                </c:pt>
                <c:pt idx="11">
                  <c:v>Client FF</c:v>
                </c:pt>
                <c:pt idx="12">
                  <c:v>Client G</c:v>
                </c:pt>
                <c:pt idx="13">
                  <c:v>Client GG</c:v>
                </c:pt>
                <c:pt idx="14">
                  <c:v>Client H</c:v>
                </c:pt>
                <c:pt idx="15">
                  <c:v>Client HH</c:v>
                </c:pt>
                <c:pt idx="16">
                  <c:v>Client I</c:v>
                </c:pt>
                <c:pt idx="17">
                  <c:v>Client J</c:v>
                </c:pt>
                <c:pt idx="18">
                  <c:v>Client K</c:v>
                </c:pt>
                <c:pt idx="19">
                  <c:v>Client L</c:v>
                </c:pt>
                <c:pt idx="20">
                  <c:v>Client M</c:v>
                </c:pt>
                <c:pt idx="21">
                  <c:v>Client N</c:v>
                </c:pt>
                <c:pt idx="22">
                  <c:v>Client O</c:v>
                </c:pt>
                <c:pt idx="23">
                  <c:v>Client P</c:v>
                </c:pt>
                <c:pt idx="24">
                  <c:v>Client Q</c:v>
                </c:pt>
                <c:pt idx="25">
                  <c:v>Client R</c:v>
                </c:pt>
                <c:pt idx="26">
                  <c:v>Client S</c:v>
                </c:pt>
                <c:pt idx="27">
                  <c:v>Client T</c:v>
                </c:pt>
                <c:pt idx="28">
                  <c:v>Client U</c:v>
                </c:pt>
                <c:pt idx="29">
                  <c:v>Client V</c:v>
                </c:pt>
                <c:pt idx="30">
                  <c:v>Client W</c:v>
                </c:pt>
                <c:pt idx="31">
                  <c:v>Client X</c:v>
                </c:pt>
                <c:pt idx="32">
                  <c:v>Client Y</c:v>
                </c:pt>
                <c:pt idx="33">
                  <c:v>Client Z</c:v>
                </c:pt>
              </c:strCache>
            </c:strRef>
          </c:cat>
          <c:val>
            <c:numRef>
              <c:f>PivotTables_Data!$C$2:$C$36</c:f>
              <c:numCache>
                <c:formatCode>General</c:formatCode>
                <c:ptCount val="34"/>
                <c:pt idx="0">
                  <c:v>250</c:v>
                </c:pt>
                <c:pt idx="1">
                  <c:v>100</c:v>
                </c:pt>
                <c:pt idx="2">
                  <c:v>150</c:v>
                </c:pt>
                <c:pt idx="3">
                  <c:v>50</c:v>
                </c:pt>
                <c:pt idx="4">
                  <c:v>400</c:v>
                </c:pt>
                <c:pt idx="5">
                  <c:v>300</c:v>
                </c:pt>
                <c:pt idx="6">
                  <c:v>100</c:v>
                </c:pt>
                <c:pt idx="7">
                  <c:v>400</c:v>
                </c:pt>
                <c:pt idx="8">
                  <c:v>75</c:v>
                </c:pt>
                <c:pt idx="9">
                  <c:v>350</c:v>
                </c:pt>
                <c:pt idx="10">
                  <c:v>100</c:v>
                </c:pt>
                <c:pt idx="11">
                  <c:v>450</c:v>
                </c:pt>
                <c:pt idx="12">
                  <c:v>50</c:v>
                </c:pt>
                <c:pt idx="13">
                  <c:v>300</c:v>
                </c:pt>
                <c:pt idx="14">
                  <c:v>75</c:v>
                </c:pt>
                <c:pt idx="15">
                  <c:v>100</c:v>
                </c:pt>
                <c:pt idx="16">
                  <c:v>300</c:v>
                </c:pt>
                <c:pt idx="17">
                  <c:v>350</c:v>
                </c:pt>
                <c:pt idx="18">
                  <c:v>500</c:v>
                </c:pt>
                <c:pt idx="19">
                  <c:v>400</c:v>
                </c:pt>
                <c:pt idx="20">
                  <c:v>450</c:v>
                </c:pt>
                <c:pt idx="21">
                  <c:v>750</c:v>
                </c:pt>
                <c:pt idx="22">
                  <c:v>100</c:v>
                </c:pt>
                <c:pt idx="23">
                  <c:v>400</c:v>
                </c:pt>
                <c:pt idx="24">
                  <c:v>50</c:v>
                </c:pt>
                <c:pt idx="25">
                  <c:v>150</c:v>
                </c:pt>
                <c:pt idx="26">
                  <c:v>150</c:v>
                </c:pt>
                <c:pt idx="27">
                  <c:v>100</c:v>
                </c:pt>
                <c:pt idx="28">
                  <c:v>200</c:v>
                </c:pt>
                <c:pt idx="29">
                  <c:v>350</c:v>
                </c:pt>
                <c:pt idx="30">
                  <c:v>400</c:v>
                </c:pt>
                <c:pt idx="31">
                  <c:v>750</c:v>
                </c:pt>
                <c:pt idx="32">
                  <c:v>600</c:v>
                </c:pt>
                <c:pt idx="33">
                  <c:v>25</c:v>
                </c:pt>
              </c:numCache>
            </c:numRef>
          </c:val>
          <c:smooth val="0"/>
          <c:extLst>
            <c:ext xmlns:c16="http://schemas.microsoft.com/office/drawing/2014/chart" uri="{C3380CC4-5D6E-409C-BE32-E72D297353CC}">
              <c16:uniqueId val="{00000001-2842-4D7F-BBDC-D027EEC7C45D}"/>
            </c:ext>
          </c:extLst>
        </c:ser>
        <c:dLbls>
          <c:showLegendKey val="0"/>
          <c:showVal val="0"/>
          <c:showCatName val="0"/>
          <c:showSerName val="0"/>
          <c:showPercent val="0"/>
          <c:showBubbleSize val="0"/>
        </c:dLbls>
        <c:marker val="1"/>
        <c:smooth val="0"/>
        <c:axId val="1088187328"/>
        <c:axId val="1088187808"/>
      </c:lineChart>
      <c:catAx>
        <c:axId val="1605623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625824"/>
        <c:crosses val="autoZero"/>
        <c:auto val="1"/>
        <c:lblAlgn val="ctr"/>
        <c:lblOffset val="100"/>
        <c:noMultiLvlLbl val="0"/>
      </c:catAx>
      <c:valAx>
        <c:axId val="160562582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623424"/>
        <c:crosses val="autoZero"/>
        <c:crossBetween val="between"/>
      </c:valAx>
      <c:valAx>
        <c:axId val="108818780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8187328"/>
        <c:crosses val="max"/>
        <c:crossBetween val="between"/>
      </c:valAx>
      <c:catAx>
        <c:axId val="1088187328"/>
        <c:scaling>
          <c:orientation val="minMax"/>
        </c:scaling>
        <c:delete val="1"/>
        <c:axPos val="b"/>
        <c:numFmt formatCode="General" sourceLinked="1"/>
        <c:majorTickMark val="out"/>
        <c:minorTickMark val="none"/>
        <c:tickLblPos val="nextTo"/>
        <c:crossAx val="1088187808"/>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[Energy_Operations_Tracker.xlsm]PivotTables_Data!PivotMonthlyTrend</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Monthly Ticket Trend</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lumMod val="60000"/>
              <a:lumOff val="40000"/>
            </a:schemeClr>
          </a:solidFill>
          <a:ln w="22225">
            <a:solidFill>
              <a:srgbClr val="0070C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lumMod val="60000"/>
              <a:lumOff val="40000"/>
            </a:schemeClr>
          </a:solidFill>
          <a:ln w="22225">
            <a:solidFill>
              <a:srgbClr val="0070C0"/>
            </a:solidFill>
          </a:ln>
          <a:effectLst/>
        </c:spPr>
        <c:dLbl>
          <c:idx val="0"/>
          <c:layout>
            <c:manualLayout>
              <c:x val="1.5328572785554195E-3"/>
              <c:y val="-0.32562194157119001"/>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4">
              <a:lumMod val="60000"/>
              <a:lumOff val="40000"/>
            </a:schemeClr>
          </a:solidFill>
          <a:ln w="22225">
            <a:solidFill>
              <a:srgbClr val="0070C0"/>
            </a:solidFill>
          </a:ln>
          <a:effectLst/>
        </c:spPr>
        <c:dLbl>
          <c:idx val="0"/>
          <c:layout>
            <c:manualLayout>
              <c:x val="-5.6204117605606835E-17"/>
              <c:y val="-0.2748756649626928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lumMod val="60000"/>
              <a:lumOff val="40000"/>
            </a:schemeClr>
          </a:solidFill>
          <a:ln w="22225">
            <a:solidFill>
              <a:srgbClr val="0070C0"/>
            </a:solidFill>
          </a:ln>
          <a:effectLst/>
        </c:spPr>
        <c:dLbl>
          <c:idx val="0"/>
          <c:layout>
            <c:manualLayout>
              <c:x val="0"/>
              <c:y val="-8.880598406487007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PivotTables_Data!$G$1</c:f>
              <c:strCache>
                <c:ptCount val="1"/>
                <c:pt idx="0">
                  <c:v>Total</c:v>
                </c:pt>
              </c:strCache>
            </c:strRef>
          </c:tx>
          <c:spPr>
            <a:solidFill>
              <a:schemeClr val="accent4">
                <a:lumMod val="60000"/>
                <a:lumOff val="40000"/>
              </a:schemeClr>
            </a:solidFill>
            <a:ln w="22225">
              <a:solidFill>
                <a:srgbClr val="0070C0"/>
              </a:solidFill>
            </a:ln>
            <a:effectLst/>
          </c:spPr>
          <c:dLbls>
            <c:dLbl>
              <c:idx val="0"/>
              <c:layout>
                <c:manualLayout>
                  <c:x val="0"/>
                  <c:y val="-8.880598406487007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15C-4260-B5FB-45615FF16DCF}"/>
                </c:ext>
              </c:extLst>
            </c:dLbl>
            <c:dLbl>
              <c:idx val="1"/>
              <c:layout>
                <c:manualLayout>
                  <c:x val="-5.6204117605606835E-17"/>
                  <c:y val="-0.2748756649626928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15C-4260-B5FB-45615FF16DCF}"/>
                </c:ext>
              </c:extLst>
            </c:dLbl>
            <c:dLbl>
              <c:idx val="2"/>
              <c:layout>
                <c:manualLayout>
                  <c:x val="1.5328572785554195E-3"/>
                  <c:y val="-0.3256219415711900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15C-4260-B5FB-45615FF16DCF}"/>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PivotTables_Data!$F$2:$F$5</c:f>
              <c:strCache>
                <c:ptCount val="3"/>
                <c:pt idx="0">
                  <c:v>jan</c:v>
                </c:pt>
                <c:pt idx="1">
                  <c:v>fev</c:v>
                </c:pt>
                <c:pt idx="2">
                  <c:v>mar</c:v>
                </c:pt>
              </c:strCache>
            </c:strRef>
          </c:cat>
          <c:val>
            <c:numRef>
              <c:f>PivotTables_Data!$G$2:$G$5</c:f>
              <c:numCache>
                <c:formatCode>General</c:formatCode>
                <c:ptCount val="3"/>
                <c:pt idx="0">
                  <c:v>3</c:v>
                </c:pt>
                <c:pt idx="1">
                  <c:v>14</c:v>
                </c:pt>
                <c:pt idx="2">
                  <c:v>17</c:v>
                </c:pt>
              </c:numCache>
            </c:numRef>
          </c:val>
          <c:extLst>
            <c:ext xmlns:c16="http://schemas.microsoft.com/office/drawing/2014/chart" uri="{C3380CC4-5D6E-409C-BE32-E72D297353CC}">
              <c16:uniqueId val="{00000000-F15C-4260-B5FB-45615FF16DCF}"/>
            </c:ext>
          </c:extLst>
        </c:ser>
        <c:dLbls>
          <c:showLegendKey val="0"/>
          <c:showVal val="0"/>
          <c:showCatName val="0"/>
          <c:showSerName val="0"/>
          <c:showPercent val="0"/>
          <c:showBubbleSize val="0"/>
        </c:dLbls>
        <c:axId val="423739503"/>
        <c:axId val="423739983"/>
      </c:areaChart>
      <c:catAx>
        <c:axId val="42373950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39983"/>
        <c:crosses val="autoZero"/>
        <c:auto val="1"/>
        <c:lblAlgn val="ctr"/>
        <c:lblOffset val="100"/>
        <c:noMultiLvlLbl val="0"/>
      </c:catAx>
      <c:valAx>
        <c:axId val="42373998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39503"/>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6</xdr:col>
      <xdr:colOff>83820</xdr:colOff>
      <xdr:row>0</xdr:row>
      <xdr:rowOff>106680</xdr:rowOff>
    </xdr:from>
    <xdr:to>
      <xdr:col>8</xdr:col>
      <xdr:colOff>30480</xdr:colOff>
      <xdr:row>7</xdr:row>
      <xdr:rowOff>45720</xdr:rowOff>
    </xdr:to>
    <mc:AlternateContent xmlns:mc="http://schemas.openxmlformats.org/markup-compatibility/2006">
      <mc:Choice xmlns:a14="http://schemas.microsoft.com/office/drawing/2010/main" Requires="a14">
        <xdr:graphicFrame macro="">
          <xdr:nvGraphicFramePr>
            <xdr:cNvPr id="2" name="Status">
              <a:extLst>
                <a:ext uri="{FF2B5EF4-FFF2-40B4-BE49-F238E27FC236}">
                  <a16:creationId xmlns:a16="http://schemas.microsoft.com/office/drawing/2014/main" id="{104151BE-76AE-451D-81FF-8027B5E84B77}"/>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dr:sp macro="" textlink="">
          <xdr:nvSpPr>
            <xdr:cNvPr id="0" name=""/>
            <xdr:cNvSpPr>
              <a:spLocks noTextEdit="1"/>
            </xdr:cNvSpPr>
          </xdr:nvSpPr>
          <xdr:spPr>
            <a:xfrm>
              <a:off x="4838700" y="106680"/>
              <a:ext cx="1165860" cy="12192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106680</xdr:colOff>
      <xdr:row>0</xdr:row>
      <xdr:rowOff>99060</xdr:rowOff>
    </xdr:from>
    <xdr:to>
      <xdr:col>10</xdr:col>
      <xdr:colOff>121920</xdr:colOff>
      <xdr:row>7</xdr:row>
      <xdr:rowOff>99060</xdr:rowOff>
    </xdr:to>
    <mc:AlternateContent xmlns:mc="http://schemas.openxmlformats.org/markup-compatibility/2006">
      <mc:Choice xmlns:a14="http://schemas.microsoft.com/office/drawing/2010/main" Requires="a14">
        <xdr:graphicFrame macro="">
          <xdr:nvGraphicFramePr>
            <xdr:cNvPr id="3" name="Priority">
              <a:extLst>
                <a:ext uri="{FF2B5EF4-FFF2-40B4-BE49-F238E27FC236}">
                  <a16:creationId xmlns:a16="http://schemas.microsoft.com/office/drawing/2014/main" id="{5219EF8E-1CCF-4605-B4AF-AA083B5B7BC8}"/>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dr:sp macro="" textlink="">
          <xdr:nvSpPr>
            <xdr:cNvPr id="0" name=""/>
            <xdr:cNvSpPr>
              <a:spLocks noTextEdit="1"/>
            </xdr:cNvSpPr>
          </xdr:nvSpPr>
          <xdr:spPr>
            <a:xfrm>
              <a:off x="6080760" y="99060"/>
              <a:ext cx="1234440" cy="128016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213360</xdr:colOff>
          <xdr:row>6</xdr:row>
          <xdr:rowOff>68580</xdr:rowOff>
        </xdr:from>
        <xdr:to>
          <xdr:col>10</xdr:col>
          <xdr:colOff>617220</xdr:colOff>
          <xdr:row>7</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ptos Narrow"/>
                </a:rPr>
                <a:t>REFRESH ALL DATA</a:t>
              </a:r>
            </a:p>
          </xdr:txBody>
        </xdr:sp>
        <xdr:clientData fPrintsWithSheet="0"/>
      </xdr:twoCellAnchor>
    </mc:Choice>
    <mc:Fallback/>
  </mc:AlternateContent>
  <xdr:twoCellAnchor>
    <xdr:from>
      <xdr:col>1</xdr:col>
      <xdr:colOff>24230</xdr:colOff>
      <xdr:row>4</xdr:row>
      <xdr:rowOff>134470</xdr:rowOff>
    </xdr:from>
    <xdr:to>
      <xdr:col>5</xdr:col>
      <xdr:colOff>887506</xdr:colOff>
      <xdr:row>18</xdr:row>
      <xdr:rowOff>98612</xdr:rowOff>
    </xdr:to>
    <xdr:graphicFrame macro="">
      <xdr:nvGraphicFramePr>
        <xdr:cNvPr id="3" name="Chart 2">
          <a:extLst>
            <a:ext uri="{FF2B5EF4-FFF2-40B4-BE49-F238E27FC236}">
              <a16:creationId xmlns:a16="http://schemas.microsoft.com/office/drawing/2014/main" id="{575EB0A6-4891-700A-4636-9B6B12C310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62752</xdr:colOff>
      <xdr:row>4</xdr:row>
      <xdr:rowOff>143436</xdr:rowOff>
    </xdr:from>
    <xdr:to>
      <xdr:col>8</xdr:col>
      <xdr:colOff>1828958</xdr:colOff>
      <xdr:row>18</xdr:row>
      <xdr:rowOff>98613</xdr:rowOff>
    </xdr:to>
    <xdr:graphicFrame macro="">
      <xdr:nvGraphicFramePr>
        <xdr:cNvPr id="5" name="Chart 4">
          <a:extLst>
            <a:ext uri="{FF2B5EF4-FFF2-40B4-BE49-F238E27FC236}">
              <a16:creationId xmlns:a16="http://schemas.microsoft.com/office/drawing/2014/main" id="{BBA32C10-0501-DA0A-A771-61EC7B66AF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62752</xdr:colOff>
      <xdr:row>18</xdr:row>
      <xdr:rowOff>130587</xdr:rowOff>
    </xdr:from>
    <xdr:to>
      <xdr:col>8</xdr:col>
      <xdr:colOff>1839087</xdr:colOff>
      <xdr:row>29</xdr:row>
      <xdr:rowOff>8965</xdr:rowOff>
    </xdr:to>
    <xdr:graphicFrame macro="">
      <xdr:nvGraphicFramePr>
        <xdr:cNvPr id="12" name="Chart_WorkloadTop5">
          <a:extLst>
            <a:ext uri="{FF2B5EF4-FFF2-40B4-BE49-F238E27FC236}">
              <a16:creationId xmlns:a16="http://schemas.microsoft.com/office/drawing/2014/main" id="{341398AD-D95C-6A4C-B1FE-EA4C09DF7B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26894</xdr:colOff>
      <xdr:row>18</xdr:row>
      <xdr:rowOff>125506</xdr:rowOff>
    </xdr:from>
    <xdr:to>
      <xdr:col>5</xdr:col>
      <xdr:colOff>877708</xdr:colOff>
      <xdr:row>39</xdr:row>
      <xdr:rowOff>98612</xdr:rowOff>
    </xdr:to>
    <xdr:graphicFrame macro="">
      <xdr:nvGraphicFramePr>
        <xdr:cNvPr id="13" name="Chart_CostVsHours_Dynamic">
          <a:extLst>
            <a:ext uri="{FF2B5EF4-FFF2-40B4-BE49-F238E27FC236}">
              <a16:creationId xmlns:a16="http://schemas.microsoft.com/office/drawing/2014/main" id="{9A307404-37F7-1E6D-0E65-538639B94D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60962</xdr:colOff>
      <xdr:row>29</xdr:row>
      <xdr:rowOff>53788</xdr:rowOff>
    </xdr:from>
    <xdr:to>
      <xdr:col>8</xdr:col>
      <xdr:colOff>1837764</xdr:colOff>
      <xdr:row>45</xdr:row>
      <xdr:rowOff>116540</xdr:rowOff>
    </xdr:to>
    <xdr:graphicFrame macro="">
      <xdr:nvGraphicFramePr>
        <xdr:cNvPr id="14" name="Chart_RevenueTrend_Dynamic">
          <a:extLst>
            <a:ext uri="{FF2B5EF4-FFF2-40B4-BE49-F238E27FC236}">
              <a16:creationId xmlns:a16="http://schemas.microsoft.com/office/drawing/2014/main" id="{83CB4141-D011-84F2-EC1A-49830855A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9</xdr:col>
          <xdr:colOff>206188</xdr:colOff>
          <xdr:row>8</xdr:row>
          <xdr:rowOff>56925</xdr:rowOff>
        </xdr:from>
        <xdr:to>
          <xdr:col>10</xdr:col>
          <xdr:colOff>627530</xdr:colOff>
          <xdr:row>9</xdr:row>
          <xdr:rowOff>116542</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400-000005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ptos Narrow"/>
                </a:rPr>
                <a:t>EXPORT PDF</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159.785846412036" backgroundQuery="1" createdVersion="8" refreshedVersion="8" minRefreshableVersion="3" recordCount="0" supportSubquery="1" supportAdvancedDrill="1" xr:uid="{DFAC30C0-0AE7-4968-A1FC-E3E58567D118}">
  <cacheSource type="external" connectionId="5"/>
  <cacheFields count="4">
    <cacheField name="[BILLING_EXPORT].[Client].[Client]" caption="Client" numFmtId="0" hierarchy="1" level="1">
      <sharedItems count="34">
        <s v="Client A"/>
        <s v="Client AA"/>
        <s v="Client B"/>
        <s v="Client BB"/>
        <s v="Client C"/>
        <s v="Client CC"/>
        <s v="Client D"/>
        <s v="Client DD"/>
        <s v="Client E"/>
        <s v="Client EE"/>
        <s v="Client F"/>
        <s v="Client FF"/>
        <s v="Client G"/>
        <s v="Client GG"/>
        <s v="Client H"/>
        <s v="Client HH"/>
        <s v="Client I"/>
        <s v="Client J"/>
        <s v="Client K"/>
        <s v="Client L"/>
        <s v="Client M"/>
        <s v="Client N"/>
        <s v="Client O"/>
        <s v="Client P"/>
        <s v="Client Q"/>
        <s v="Client R"/>
        <s v="Client S"/>
        <s v="Client T"/>
        <s v="Client U"/>
        <s v="Client V"/>
        <s v="Client W"/>
        <s v="Client X"/>
        <s v="Client Y"/>
        <s v="Client Z"/>
      </sharedItems>
    </cacheField>
    <cacheField name="[Measures].[Sum of Cost]" caption="Sum of Cost" numFmtId="0" hierarchy="16" level="32767"/>
    <cacheField name="[CRM_EXPORT].[Priority].[Priority]" caption="Priority" numFmtId="0" hierarchy="11" level="1">
      <sharedItems containsSemiMixedTypes="0" containsNonDate="0" containsString="0"/>
    </cacheField>
    <cacheField name="[BILLING_EXPORT].[Status].[Status]" caption="Status" numFmtId="0" hierarchy="4" level="1">
      <sharedItems containsSemiMixedTypes="0" containsNonDate="0" containsString="0"/>
    </cacheField>
  </cacheFields>
  <cacheHierarchies count="34">
    <cacheHierarchy uniqueName="[BILLING_EXPORT].[Invoice_ID]" caption="Invoice_ID" attribute="1" defaultMemberUniqueName="[BILLING_EXPORT].[Invoice_ID].[All]" allUniqueName="[BILLING_EXPORT].[Invoice_ID].[All]" dimensionUniqueName="[BILLING_EXPORT]" displayFolder="" count="0" memberValueDatatype="130" unbalanced="0"/>
    <cacheHierarchy uniqueName="[BILLING_EXPORT].[Client]" caption="Client" attribute="1" defaultMemberUniqueName="[BILLING_EXPORT].[Client].[All]" allUniqueName="[BILLING_EXPORT].[Client].[All]" dimensionUniqueName="[BILLING_EXPORT]" displayFolder="" count="2" memberValueDatatype="130" unbalanced="0">
      <fieldsUsage count="2">
        <fieldUsage x="-1"/>
        <fieldUsage x="0"/>
      </fieldsUsage>
    </cacheHierarchy>
    <cacheHierarchy uniqueName="[BILLING_EXPORT].[Hours]" caption="Hours" attribute="1" defaultMemberUniqueName="[BILLING_EXPORT].[Hours].[All]" allUniqueName="[BILLING_EXPORT].[Hours].[All]" dimensionUniqueName="[BILLING_EXPORT]" displayFolder="" count="0" memberValueDatatype="20" unbalanced="0"/>
    <cacheHierarchy uniqueName="[BILLING_EXPORT].[Cost]" caption="Cost" attribute="1" defaultMemberUniqueName="[BILLING_EXPORT].[Cost].[All]" allUniqueName="[BILLING_EXPORT].[Cost].[All]" dimensionUniqueName="[BILLING_EXPORT]" displayFolder="" count="0" memberValueDatatype="20" unbalanced="0"/>
    <cacheHierarchy uniqueName="[BILLING_EXPORT].[Status]" caption="Status" attribute="1" defaultMemberUniqueName="[BILLING_EXPORT].[Status].[All]" allUniqueName="[BILLING_EXPORT].[Status].[All]" dimensionUniqueName="[BILLING_EXPORT]" displayFolder="" count="2" memberValueDatatype="130" unbalanced="0">
      <fieldsUsage count="2">
        <fieldUsage x="-1"/>
        <fieldUsage x="3"/>
      </fieldsUsage>
    </cacheHierarchy>
    <cacheHierarchy uniqueName="[BILLING_EXPORT].[System]" caption="System" attribute="1" defaultMemberUniqueName="[BILLING_EXPORT].[System].[All]" allUniqueName="[BILLING_EXPORT].[System].[All]" dimensionUniqueName="[BILLING_EXPORT]" displayFolder="" count="0" memberValueDatatype="130" unbalanced="0"/>
    <cacheHierarchy uniqueName="[CRM_EXPORT].[Ticket_ID]" caption="Ticket_ID" attribute="1" defaultMemberUniqueName="[CRM_EXPORT].[Ticket_ID].[All]" allUniqueName="[CRM_EXPORT].[Ticket_ID].[All]" dimensionUniqueName="[CRM_EXPORT]" displayFolder="" count="0" memberValueDatatype="130" unbalanced="0"/>
    <cacheHierarchy uniqueName="[CRM_EXPORT].[Date]" caption="Date" attribute="1" time="1" defaultMemberUniqueName="[CRM_EXPORT].[Date].[All]" allUniqueName="[CRM_EXPORT].[Date].[All]" dimensionUniqueName="[CRM_EXPORT]" displayFolder="" count="0" memberValueDatatype="7" unbalanced="0"/>
    <cacheHierarchy uniqueName="[CRM_EXPORT].[Client]" caption="Client" attribute="1" defaultMemberUniqueName="[CRM_EXPORT].[Client].[All]" allUniqueName="[CRM_EXPORT].[Client].[All]" dimensionUniqueName="[CRM_EXPORT]" displayFolder="" count="0" memberValueDatatype="130" unbalanced="0"/>
    <cacheHierarchy uniqueName="[CRM_EXPORT].[Issue_Type]" caption="Issue_Type" attribute="1" defaultMemberUniqueName="[CRM_EXPORT].[Issue_Type].[All]" allUniqueName="[CRM_EXPORT].[Issue_Type].[All]" dimensionUniqueName="[CRM_EXPORT]" displayFolder="" count="0" memberValueDatatype="130" unbalanced="0"/>
    <cacheHierarchy uniqueName="[CRM_EXPORT].[Status]" caption="Status" attribute="1" defaultMemberUniqueName="[CRM_EXPORT].[Status].[All]" allUniqueName="[CRM_EXPORT].[Status].[All]" dimensionUniqueName="[CRM_EXPORT]" displayFolder="" count="0" memberValueDatatype="130" unbalanced="0"/>
    <cacheHierarchy uniqueName="[CRM_EXPORT].[Priority]" caption="Priority" attribute="1" defaultMemberUniqueName="[CRM_EXPORT].[Priority].[All]" allUniqueName="[CRM_EXPORT].[Priority].[All]" dimensionUniqueName="[CRM_EXPORT]" displayFolder="" count="2" memberValueDatatype="130" unbalanced="0">
      <fieldsUsage count="2">
        <fieldUsage x="-1"/>
        <fieldUsage x="2"/>
      </fieldsUsage>
    </cacheHierarchy>
    <cacheHierarchy uniqueName="[CRM_EXPORT].[System]" caption="System" attribute="1" defaultMemberUniqueName="[CRM_EXPORT].[System].[All]" allUniqueName="[CRM_EXPORT].[System].[All]" dimensionUniqueName="[CRM_EXPORT]" displayFolder="" count="0" memberValueDatatype="130" unbalanced="0"/>
    <cacheHierarchy uniqueName="[CRM_EXPORT].[Date (Month)]" caption="Date (Month)" attribute="1" defaultMemberUniqueName="[CRM_EXPORT].[Date (Month)].[All]" allUniqueName="[CRM_EXPORT].[Date (Month)].[All]" dimensionUniqueName="[CRM_EXPORT]" displayFolder="" count="0" memberValueDatatype="130" unbalanced="0"/>
    <cacheHierarchy uniqueName="[CRM_EXPORT].[Date (Month Index)]" caption="Date (Month Index)" attribute="1" defaultMemberUniqueName="[CRM_EXPORT].[Date (Month Index)].[All]" allUniqueName="[CRM_EXPORT].[Date (Month Index)].[All]" dimensionUniqueName="[CRM_EXPORT]" displayFolder="" count="0" memberValueDatatype="20" unbalanced="0" hidden="1"/>
    <cacheHierarchy uniqueName="[Measures].[Count of Status]" caption="Count of Status" measure="1" displayFolder="" measureGroup="CRM_EXPORT" count="0">
      <extLst>
        <ext xmlns:x15="http://schemas.microsoft.com/office/spreadsheetml/2010/11/main" uri="{B97F6D7D-B522-45F9-BDA1-12C45D357490}">
          <x15:cacheHierarchy aggregatedColumn="10"/>
        </ext>
      </extLst>
    </cacheHierarchy>
    <cacheHierarchy uniqueName="[Measures].[Sum of Cost]" caption="Sum of Cost" measure="1" displayFolder="" measureGroup="BILLING_EXPORT" count="0" oneField="1">
      <fieldsUsage count="1">
        <fieldUsage x="1"/>
      </fieldsUsage>
      <extLst>
        <ext xmlns:x15="http://schemas.microsoft.com/office/spreadsheetml/2010/11/main" uri="{B97F6D7D-B522-45F9-BDA1-12C45D357490}">
          <x15:cacheHierarchy aggregatedColumn="3"/>
        </ext>
      </extLst>
    </cacheHierarchy>
    <cacheHierarchy uniqueName="[Measures].[Count of Status 2]" caption="Count of Status 2" measure="1" displayFolder="" measureGroup="BILLING_EXPORT" count="0">
      <extLst>
        <ext xmlns:x15="http://schemas.microsoft.com/office/spreadsheetml/2010/11/main" uri="{B97F6D7D-B522-45F9-BDA1-12C45D357490}">
          <x15:cacheHierarchy aggregatedColumn="4"/>
        </ext>
      </extLst>
    </cacheHierarchy>
    <cacheHierarchy uniqueName="[Measures].[Sum of Hours 2]" caption="Sum of Hours 2" measure="1" displayFolder="" measureGroup="BILLING_EXPORT" count="0">
      <extLst>
        <ext xmlns:x15="http://schemas.microsoft.com/office/spreadsheetml/2010/11/main" uri="{B97F6D7D-B522-45F9-BDA1-12C45D357490}">
          <x15:cacheHierarchy aggregatedColumn="2"/>
        </ext>
      </extLst>
    </cacheHierarchy>
    <cacheHierarchy uniqueName="[Measures].[Count of Client]" caption="Count of Client" measure="1" displayFolder="" measureGroup="CRM_EXPORT" count="0">
      <extLst>
        <ext xmlns:x15="http://schemas.microsoft.com/office/spreadsheetml/2010/11/main" uri="{B97F6D7D-B522-45F9-BDA1-12C45D357490}">
          <x15:cacheHierarchy aggregatedColumn="8"/>
        </ext>
      </extLst>
    </cacheHierarchy>
    <cacheHierarchy uniqueName="[Measures].[Count of Client 2]" caption="Count of Client 2" measure="1" displayFolder="" measureGroup="BILLING_EXPORT" count="0">
      <extLst>
        <ext xmlns:x15="http://schemas.microsoft.com/office/spreadsheetml/2010/11/main" uri="{B97F6D7D-B522-45F9-BDA1-12C45D357490}">
          <x15:cacheHierarchy aggregatedColumn="1"/>
        </ext>
      </extLst>
    </cacheHierarchy>
    <cacheHierarchy uniqueName="[Measures].[Count of Ticket_ID]" caption="Count of Ticket_ID" measure="1" displayFolder="" measureGroup="CRM_EXPORT" count="0">
      <extLst>
        <ext xmlns:x15="http://schemas.microsoft.com/office/spreadsheetml/2010/11/main" uri="{B97F6D7D-B522-45F9-BDA1-12C45D357490}">
          <x15:cacheHierarchy aggregatedColumn="6"/>
        </ext>
      </extLst>
    </cacheHierarchy>
    <cacheHierarchy uniqueName="[Measures].[Count of Hours]" caption="Count of Hours" measure="1" displayFolder="" measureGroup="BILLING_EXPORT" count="0">
      <extLst>
        <ext xmlns:x15="http://schemas.microsoft.com/office/spreadsheetml/2010/11/main" uri="{B97F6D7D-B522-45F9-BDA1-12C45D357490}">
          <x15:cacheHierarchy aggregatedColumn="2"/>
        </ext>
      </extLst>
    </cacheHierarchy>
    <cacheHierarchy uniqueName="[Measures].[Client Count]" caption="Client Count" measure="1" displayFolder="" measureGroup="CRM_EXPORT" count="0"/>
    <cacheHierarchy uniqueName="[Measures].[Avg Cost per Client]" caption="Avg Cost per Client" measure="1" displayFolder="" measureGroup="CRM_EXPORT" count="0"/>
    <cacheHierarchy uniqueName="[Measures].[Open Tickets]" caption="Open Tickets" measure="1" displayFolder="" measureGroup="CRM_EXPORT" count="0"/>
    <cacheHierarchy uniqueName="[Measures].[Duplicate Check CRM_EXPORT]" caption="Duplicate Check CRM_EXPORT" measure="1" displayFolder="" measureGroup="CRM_EXPORT" count="0"/>
    <cacheHierarchy uniqueName="[Measures].[Hourly Rate]" caption="Hourly Rate" measure="1" displayFolder="" measureGroup="CRM_EXPORT" count="0"/>
    <cacheHierarchy uniqueName="[Measures].[Total Cost]" caption="Total Cost" measure="1" displayFolder="" measureGroup="CRM_EXPORT" count="0"/>
    <cacheHierarchy uniqueName="[Measures].[__XL_Count CRM_EXPORT]" caption="__XL_Count CRM_EXPORT" measure="1" displayFolder="" measureGroup="CRM_EXPORT" count="0" hidden="1"/>
    <cacheHierarchy uniqueName="[Measures].[__XL_Count BILLING_EXPORT]" caption="__XL_Count BILLING_EXPORT" measure="1" displayFolder="" measureGroup="BILLING_EXPORT" count="0" hidden="1"/>
    <cacheHierarchy uniqueName="[Measures].[__No measures defined]" caption="__No measures defined" measure="1" displayFolder="" count="0" hidden="1"/>
    <cacheHierarchy uniqueName="[Measures].[_Total Cost Goal]" caption="_Total Cost Goal" measure="1" displayFolder="" measureGroup="CRM_EXPORT" count="0" hidden="1"/>
    <cacheHierarchy uniqueName="[Measures].[_Total Cost Status]" caption="_Total Cost Status" measure="1" iconSet="8" displayFolder="" measureGroup="CRM_EXPORT" count="0" hidden="1"/>
  </cacheHierarchies>
  <kpis count="1">
    <kpi uniqueName="Total Cost" caption="Total Cost" displayFolder="" measureGroup="CRM_EXPORT" parent="" value="[Measures].[Total Cost]" goal="[Measures].[_Total Cost Goal]" status="[Measures].[_Total Cost Status]" trend="" weight=""/>
  </kpis>
  <dimensions count="3">
    <dimension name="BILLING_EXPORT" uniqueName="[BILLING_EXPORT]" caption="BILLING_EXPORT"/>
    <dimension name="CRM_EXPORT" uniqueName="[CRM_EXPORT]" caption="CRM_EXPORT"/>
    <dimension measure="1" name="Measures" uniqueName="[Measures]" caption="Measures"/>
  </dimensions>
  <measureGroups count="2">
    <measureGroup name="BILLING_EXPORT" caption="BILLING_EXPORT"/>
    <measureGroup name="CRM_EXPORT" caption="CRM_EXPORT"/>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159.78584733796" backgroundQuery="1" createdVersion="8" refreshedVersion="8" minRefreshableVersion="3" recordCount="0" supportSubquery="1" supportAdvancedDrill="1" xr:uid="{DBBDDE38-F56D-4B10-9E05-F66B6EC4FE8C}">
  <cacheSource type="external" connectionId="5"/>
  <cacheFields count="4">
    <cacheField name="[CRM_EXPORT].[Client].[Client]" caption="Client" numFmtId="0" hierarchy="8" level="1">
      <sharedItems count="34">
        <s v="Client A"/>
        <s v="Client AA"/>
        <s v="Client B"/>
        <s v="Client BB"/>
        <s v="Client C"/>
        <s v="Client CC"/>
        <s v="Client D"/>
        <s v="Client DD"/>
        <s v="Client E"/>
        <s v="Client EE"/>
        <s v="Client F"/>
        <s v="Client FF"/>
        <s v="Client G"/>
        <s v="Client GG"/>
        <s v="Client H"/>
        <s v="Client HH"/>
        <s v="Client I"/>
        <s v="Client J"/>
        <s v="Client K"/>
        <s v="Client L"/>
        <s v="Client M"/>
        <s v="Client N"/>
        <s v="Client O"/>
        <s v="Client P"/>
        <s v="Client Q"/>
        <s v="Client R"/>
        <s v="Client S"/>
        <s v="Client T"/>
        <s v="Client U"/>
        <s v="Client V"/>
        <s v="Client W"/>
        <s v="Client X"/>
        <s v="Client Y"/>
        <s v="Client Z"/>
      </sharedItems>
    </cacheField>
    <cacheField name="[Measures].[Count of Ticket_ID]" caption="Count of Ticket_ID" numFmtId="0" hierarchy="21" level="32767"/>
    <cacheField name="[BILLING_EXPORT].[Status].[Status]" caption="Status" numFmtId="0" hierarchy="4" level="1">
      <sharedItems containsSemiMixedTypes="0" containsNonDate="0" containsString="0"/>
    </cacheField>
    <cacheField name="[CRM_EXPORT].[Priority].[Priority]" caption="Priority" numFmtId="0" hierarchy="11" level="1">
      <sharedItems containsSemiMixedTypes="0" containsNonDate="0" containsString="0"/>
    </cacheField>
  </cacheFields>
  <cacheHierarchies count="34">
    <cacheHierarchy uniqueName="[BILLING_EXPORT].[Invoice_ID]" caption="Invoice_ID" attribute="1" defaultMemberUniqueName="[BILLING_EXPORT].[Invoice_ID].[All]" allUniqueName="[BILLING_EXPORT].[Invoice_ID].[All]" dimensionUniqueName="[BILLING_EXPORT]" displayFolder="" count="0" memberValueDatatype="130" unbalanced="0"/>
    <cacheHierarchy uniqueName="[BILLING_EXPORT].[Client]" caption="Client" attribute="1" defaultMemberUniqueName="[BILLING_EXPORT].[Client].[All]" allUniqueName="[BILLING_EXPORT].[Client].[All]" dimensionUniqueName="[BILLING_EXPORT]" displayFolder="" count="0" memberValueDatatype="130" unbalanced="0"/>
    <cacheHierarchy uniqueName="[BILLING_EXPORT].[Hours]" caption="Hours" attribute="1" defaultMemberUniqueName="[BILLING_EXPORT].[Hours].[All]" allUniqueName="[BILLING_EXPORT].[Hours].[All]" dimensionUniqueName="[BILLING_EXPORT]" displayFolder="" count="0" memberValueDatatype="20" unbalanced="0"/>
    <cacheHierarchy uniqueName="[BILLING_EXPORT].[Cost]" caption="Cost" attribute="1" defaultMemberUniqueName="[BILLING_EXPORT].[Cost].[All]" allUniqueName="[BILLING_EXPORT].[Cost].[All]" dimensionUniqueName="[BILLING_EXPORT]" displayFolder="" count="0" memberValueDatatype="20" unbalanced="0"/>
    <cacheHierarchy uniqueName="[BILLING_EXPORT].[Status]" caption="Status" attribute="1" defaultMemberUniqueName="[BILLING_EXPORT].[Status].[All]" allUniqueName="[BILLING_EXPORT].[Status].[All]" dimensionUniqueName="[BILLING_EXPORT]" displayFolder="" count="2" memberValueDatatype="130" unbalanced="0">
      <fieldsUsage count="2">
        <fieldUsage x="-1"/>
        <fieldUsage x="2"/>
      </fieldsUsage>
    </cacheHierarchy>
    <cacheHierarchy uniqueName="[BILLING_EXPORT].[System]" caption="System" attribute="1" defaultMemberUniqueName="[BILLING_EXPORT].[System].[All]" allUniqueName="[BILLING_EXPORT].[System].[All]" dimensionUniqueName="[BILLING_EXPORT]" displayFolder="" count="0" memberValueDatatype="130" unbalanced="0"/>
    <cacheHierarchy uniqueName="[CRM_EXPORT].[Ticket_ID]" caption="Ticket_ID" attribute="1" defaultMemberUniqueName="[CRM_EXPORT].[Ticket_ID].[All]" allUniqueName="[CRM_EXPORT].[Ticket_ID].[All]" dimensionUniqueName="[CRM_EXPORT]" displayFolder="" count="0" memberValueDatatype="130" unbalanced="0"/>
    <cacheHierarchy uniqueName="[CRM_EXPORT].[Date]" caption="Date" attribute="1" time="1" defaultMemberUniqueName="[CRM_EXPORT].[Date].[All]" allUniqueName="[CRM_EXPORT].[Date].[All]" dimensionUniqueName="[CRM_EXPORT]" displayFolder="" count="0" memberValueDatatype="7" unbalanced="0"/>
    <cacheHierarchy uniqueName="[CRM_EXPORT].[Client]" caption="Client" attribute="1" defaultMemberUniqueName="[CRM_EXPORT].[Client].[All]" allUniqueName="[CRM_EXPORT].[Client].[All]" dimensionUniqueName="[CRM_EXPORT]" displayFolder="" count="2" memberValueDatatype="130" unbalanced="0">
      <fieldsUsage count="2">
        <fieldUsage x="-1"/>
        <fieldUsage x="0"/>
      </fieldsUsage>
    </cacheHierarchy>
    <cacheHierarchy uniqueName="[CRM_EXPORT].[Issue_Type]" caption="Issue_Type" attribute="1" defaultMemberUniqueName="[CRM_EXPORT].[Issue_Type].[All]" allUniqueName="[CRM_EXPORT].[Issue_Type].[All]" dimensionUniqueName="[CRM_EXPORT]" displayFolder="" count="0" memberValueDatatype="130" unbalanced="0"/>
    <cacheHierarchy uniqueName="[CRM_EXPORT].[Status]" caption="Status" attribute="1" defaultMemberUniqueName="[CRM_EXPORT].[Status].[All]" allUniqueName="[CRM_EXPORT].[Status].[All]" dimensionUniqueName="[CRM_EXPORT]" displayFolder="" count="0" memberValueDatatype="130" unbalanced="0"/>
    <cacheHierarchy uniqueName="[CRM_EXPORT].[Priority]" caption="Priority" attribute="1" defaultMemberUniqueName="[CRM_EXPORT].[Priority].[All]" allUniqueName="[CRM_EXPORT].[Priority].[All]" dimensionUniqueName="[CRM_EXPORT]" displayFolder="" count="2" memberValueDatatype="130" unbalanced="0">
      <fieldsUsage count="2">
        <fieldUsage x="-1"/>
        <fieldUsage x="3"/>
      </fieldsUsage>
    </cacheHierarchy>
    <cacheHierarchy uniqueName="[CRM_EXPORT].[System]" caption="System" attribute="1" defaultMemberUniqueName="[CRM_EXPORT].[System].[All]" allUniqueName="[CRM_EXPORT].[System].[All]" dimensionUniqueName="[CRM_EXPORT]" displayFolder="" count="0" memberValueDatatype="130" unbalanced="0"/>
    <cacheHierarchy uniqueName="[CRM_EXPORT].[Date (Month)]" caption="Date (Month)" attribute="1" defaultMemberUniqueName="[CRM_EXPORT].[Date (Month)].[All]" allUniqueName="[CRM_EXPORT].[Date (Month)].[All]" dimensionUniqueName="[CRM_EXPORT]" displayFolder="" count="0" memberValueDatatype="130" unbalanced="0"/>
    <cacheHierarchy uniqueName="[CRM_EXPORT].[Date (Month Index)]" caption="Date (Month Index)" attribute="1" defaultMemberUniqueName="[CRM_EXPORT].[Date (Month Index)].[All]" allUniqueName="[CRM_EXPORT].[Date (Month Index)].[All]" dimensionUniqueName="[CRM_EXPORT]" displayFolder="" count="0" memberValueDatatype="20" unbalanced="0" hidden="1"/>
    <cacheHierarchy uniqueName="[Measures].[Count of Status]" caption="Count of Status" measure="1" displayFolder="" measureGroup="CRM_EXPORT" count="0">
      <extLst>
        <ext xmlns:x15="http://schemas.microsoft.com/office/spreadsheetml/2010/11/main" uri="{B97F6D7D-B522-45F9-BDA1-12C45D357490}">
          <x15:cacheHierarchy aggregatedColumn="10"/>
        </ext>
      </extLst>
    </cacheHierarchy>
    <cacheHierarchy uniqueName="[Measures].[Sum of Cost]" caption="Sum of Cost" measure="1" displayFolder="" measureGroup="BILLING_EXPORT" count="0">
      <extLst>
        <ext xmlns:x15="http://schemas.microsoft.com/office/spreadsheetml/2010/11/main" uri="{B97F6D7D-B522-45F9-BDA1-12C45D357490}">
          <x15:cacheHierarchy aggregatedColumn="3"/>
        </ext>
      </extLst>
    </cacheHierarchy>
    <cacheHierarchy uniqueName="[Measures].[Count of Status 2]" caption="Count of Status 2" measure="1" displayFolder="" measureGroup="BILLING_EXPORT" count="0">
      <extLst>
        <ext xmlns:x15="http://schemas.microsoft.com/office/spreadsheetml/2010/11/main" uri="{B97F6D7D-B522-45F9-BDA1-12C45D357490}">
          <x15:cacheHierarchy aggregatedColumn="4"/>
        </ext>
      </extLst>
    </cacheHierarchy>
    <cacheHierarchy uniqueName="[Measures].[Sum of Hours 2]" caption="Sum of Hours 2" measure="1" displayFolder="" measureGroup="BILLING_EXPORT" count="0">
      <extLst>
        <ext xmlns:x15="http://schemas.microsoft.com/office/spreadsheetml/2010/11/main" uri="{B97F6D7D-B522-45F9-BDA1-12C45D357490}">
          <x15:cacheHierarchy aggregatedColumn="2"/>
        </ext>
      </extLst>
    </cacheHierarchy>
    <cacheHierarchy uniqueName="[Measures].[Count of Client]" caption="Count of Client" measure="1" displayFolder="" measureGroup="CRM_EXPORT" count="0">
      <extLst>
        <ext xmlns:x15="http://schemas.microsoft.com/office/spreadsheetml/2010/11/main" uri="{B97F6D7D-B522-45F9-BDA1-12C45D357490}">
          <x15:cacheHierarchy aggregatedColumn="8"/>
        </ext>
      </extLst>
    </cacheHierarchy>
    <cacheHierarchy uniqueName="[Measures].[Count of Client 2]" caption="Count of Client 2" measure="1" displayFolder="" measureGroup="BILLING_EXPORT" count="0">
      <extLst>
        <ext xmlns:x15="http://schemas.microsoft.com/office/spreadsheetml/2010/11/main" uri="{B97F6D7D-B522-45F9-BDA1-12C45D357490}">
          <x15:cacheHierarchy aggregatedColumn="1"/>
        </ext>
      </extLst>
    </cacheHierarchy>
    <cacheHierarchy uniqueName="[Measures].[Count of Ticket_ID]" caption="Count of Ticket_ID" measure="1" displayFolder="" measureGroup="CRM_EXPORT" count="0" oneField="1">
      <fieldsUsage count="1">
        <fieldUsage x="1"/>
      </fieldsUsage>
      <extLst>
        <ext xmlns:x15="http://schemas.microsoft.com/office/spreadsheetml/2010/11/main" uri="{B97F6D7D-B522-45F9-BDA1-12C45D357490}">
          <x15:cacheHierarchy aggregatedColumn="6"/>
        </ext>
      </extLst>
    </cacheHierarchy>
    <cacheHierarchy uniqueName="[Measures].[Count of Hours]" caption="Count of Hours" measure="1" displayFolder="" measureGroup="BILLING_EXPORT" count="0">
      <extLst>
        <ext xmlns:x15="http://schemas.microsoft.com/office/spreadsheetml/2010/11/main" uri="{B97F6D7D-B522-45F9-BDA1-12C45D357490}">
          <x15:cacheHierarchy aggregatedColumn="2"/>
        </ext>
      </extLst>
    </cacheHierarchy>
    <cacheHierarchy uniqueName="[Measures].[Client Count]" caption="Client Count" measure="1" displayFolder="" measureGroup="CRM_EXPORT" count="0"/>
    <cacheHierarchy uniqueName="[Measures].[Avg Cost per Client]" caption="Avg Cost per Client" measure="1" displayFolder="" measureGroup="CRM_EXPORT" count="0"/>
    <cacheHierarchy uniqueName="[Measures].[Open Tickets]" caption="Open Tickets" measure="1" displayFolder="" measureGroup="CRM_EXPORT" count="0"/>
    <cacheHierarchy uniqueName="[Measures].[Duplicate Check CRM_EXPORT]" caption="Duplicate Check CRM_EXPORT" measure="1" displayFolder="" measureGroup="CRM_EXPORT" count="0"/>
    <cacheHierarchy uniqueName="[Measures].[Hourly Rate]" caption="Hourly Rate" measure="1" displayFolder="" measureGroup="CRM_EXPORT" count="0"/>
    <cacheHierarchy uniqueName="[Measures].[Total Cost]" caption="Total Cost" measure="1" displayFolder="" measureGroup="CRM_EXPORT" count="0"/>
    <cacheHierarchy uniqueName="[Measures].[__XL_Count CRM_EXPORT]" caption="__XL_Count CRM_EXPORT" measure="1" displayFolder="" measureGroup="CRM_EXPORT" count="0" hidden="1"/>
    <cacheHierarchy uniqueName="[Measures].[__XL_Count BILLING_EXPORT]" caption="__XL_Count BILLING_EXPORT" measure="1" displayFolder="" measureGroup="BILLING_EXPORT" count="0" hidden="1"/>
    <cacheHierarchy uniqueName="[Measures].[__No measures defined]" caption="__No measures defined" measure="1" displayFolder="" count="0" hidden="1"/>
    <cacheHierarchy uniqueName="[Measures].[_Total Cost Goal]" caption="_Total Cost Goal" measure="1" displayFolder="" measureGroup="CRM_EXPORT" count="0" hidden="1"/>
    <cacheHierarchy uniqueName="[Measures].[_Total Cost Status]" caption="_Total Cost Status" measure="1" iconSet="8" displayFolder="" measureGroup="CRM_EXPORT" count="0" hidden="1"/>
  </cacheHierarchies>
  <kpis count="1">
    <kpi uniqueName="Total Cost" caption="Total Cost" displayFolder="" measureGroup="CRM_EXPORT" parent="" value="[Measures].[Total Cost]" goal="[Measures].[_Total Cost Goal]" status="[Measures].[_Total Cost Status]" trend="" weight=""/>
  </kpis>
  <dimensions count="3">
    <dimension name="BILLING_EXPORT" uniqueName="[BILLING_EXPORT]" caption="BILLING_EXPORT"/>
    <dimension name="CRM_EXPORT" uniqueName="[CRM_EXPORT]" caption="CRM_EXPORT"/>
    <dimension measure="1" name="Measures" uniqueName="[Measures]" caption="Measures"/>
  </dimensions>
  <measureGroups count="2">
    <measureGroup name="BILLING_EXPORT" caption="BILLING_EXPORT"/>
    <measureGroup name="CRM_EXPORT" caption="CRM_EXPORT"/>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159.785849884262" backgroundQuery="1" createdVersion="8" refreshedVersion="8" minRefreshableVersion="3" recordCount="0" supportSubquery="1" supportAdvancedDrill="1" xr:uid="{D5950E47-EB69-4C4F-9D66-3A744562C774}">
  <cacheSource type="external" connectionId="5"/>
  <cacheFields count="7">
    <cacheField name="[Measures].[Client Count]" caption="Client Count" numFmtId="0" hierarchy="23" level="32767"/>
    <cacheField name="[Measures].[Avg Cost per Client]" caption="Avg Cost per Client" numFmtId="0" hierarchy="24" level="32767"/>
    <cacheField name="[Measures].[Open Tickets]" caption="Open Tickets" numFmtId="0" hierarchy="25" level="32767"/>
    <cacheField name="[Measures].[Total Cost]" caption="Total Cost" numFmtId="0" hierarchy="28" level="32767"/>
    <cacheField name="[Measures].[_Total Cost Goal]" caption="_Total Cost Goal" numFmtId="0" hierarchy="32" level="32767"/>
    <cacheField name="[Measures].[_Total Cost Status]" caption="_Total Cost Status" numFmtId="0" hierarchy="33" level="32767"/>
    <cacheField name="[Measures].[Duplicate Check CRM_EXPORT]" caption="Duplicate Check CRM_EXPORT" numFmtId="0" hierarchy="26" level="32767"/>
  </cacheFields>
  <cacheHierarchies count="34">
    <cacheHierarchy uniqueName="[BILLING_EXPORT].[Invoice_ID]" caption="Invoice_ID" attribute="1" defaultMemberUniqueName="[BILLING_EXPORT].[Invoice_ID].[All]" allUniqueName="[BILLING_EXPORT].[Invoice_ID].[All]" dimensionUniqueName="[BILLING_EXPORT]" displayFolder="" count="0" memberValueDatatype="130" unbalanced="0"/>
    <cacheHierarchy uniqueName="[BILLING_EXPORT].[Client]" caption="Client" attribute="1" defaultMemberUniqueName="[BILLING_EXPORT].[Client].[All]" allUniqueName="[BILLING_EXPORT].[Client].[All]" dimensionUniqueName="[BILLING_EXPORT]" displayFolder="" count="0" memberValueDatatype="130" unbalanced="0"/>
    <cacheHierarchy uniqueName="[BILLING_EXPORT].[Hours]" caption="Hours" attribute="1" defaultMemberUniqueName="[BILLING_EXPORT].[Hours].[All]" allUniqueName="[BILLING_EXPORT].[Hours].[All]" dimensionUniqueName="[BILLING_EXPORT]" displayFolder="" count="0" memberValueDatatype="20" unbalanced="0"/>
    <cacheHierarchy uniqueName="[BILLING_EXPORT].[Cost]" caption="Cost" attribute="1" defaultMemberUniqueName="[BILLING_EXPORT].[Cost].[All]" allUniqueName="[BILLING_EXPORT].[Cost].[All]" dimensionUniqueName="[BILLING_EXPORT]" displayFolder="" count="0" memberValueDatatype="20" unbalanced="0"/>
    <cacheHierarchy uniqueName="[BILLING_EXPORT].[Status]" caption="Status" attribute="1" defaultMemberUniqueName="[BILLING_EXPORT].[Status].[All]" allUniqueName="[BILLING_EXPORT].[Status].[All]" dimensionUniqueName="[BILLING_EXPORT]" displayFolder="" count="0" memberValueDatatype="130" unbalanced="0"/>
    <cacheHierarchy uniqueName="[BILLING_EXPORT].[System]" caption="System" attribute="1" defaultMemberUniqueName="[BILLING_EXPORT].[System].[All]" allUniqueName="[BILLING_EXPORT].[System].[All]" dimensionUniqueName="[BILLING_EXPORT]" displayFolder="" count="0" memberValueDatatype="130" unbalanced="0"/>
    <cacheHierarchy uniqueName="[CRM_EXPORT].[Ticket_ID]" caption="Ticket_ID" attribute="1" defaultMemberUniqueName="[CRM_EXPORT].[Ticket_ID].[All]" allUniqueName="[CRM_EXPORT].[Ticket_ID].[All]" dimensionUniqueName="[CRM_EXPORT]" displayFolder="" count="0" memberValueDatatype="130" unbalanced="0"/>
    <cacheHierarchy uniqueName="[CRM_EXPORT].[Date]" caption="Date" attribute="1" time="1" defaultMemberUniqueName="[CRM_EXPORT].[Date].[All]" allUniqueName="[CRM_EXPORT].[Date].[All]" dimensionUniqueName="[CRM_EXPORT]" displayFolder="" count="0" memberValueDatatype="7" unbalanced="0"/>
    <cacheHierarchy uniqueName="[CRM_EXPORT].[Client]" caption="Client" attribute="1" defaultMemberUniqueName="[CRM_EXPORT].[Client].[All]" allUniqueName="[CRM_EXPORT].[Client].[All]" dimensionUniqueName="[CRM_EXPORT]" displayFolder="" count="0" memberValueDatatype="130" unbalanced="0"/>
    <cacheHierarchy uniqueName="[CRM_EXPORT].[Issue_Type]" caption="Issue_Type" attribute="1" defaultMemberUniqueName="[CRM_EXPORT].[Issue_Type].[All]" allUniqueName="[CRM_EXPORT].[Issue_Type].[All]" dimensionUniqueName="[CRM_EXPORT]" displayFolder="" count="0" memberValueDatatype="130" unbalanced="0"/>
    <cacheHierarchy uniqueName="[CRM_EXPORT].[Status]" caption="Status" attribute="1" defaultMemberUniqueName="[CRM_EXPORT].[Status].[All]" allUniqueName="[CRM_EXPORT].[Status].[All]" dimensionUniqueName="[CRM_EXPORT]" displayFolder="" count="0" memberValueDatatype="130" unbalanced="0"/>
    <cacheHierarchy uniqueName="[CRM_EXPORT].[Priority]" caption="Priority" attribute="1" defaultMemberUniqueName="[CRM_EXPORT].[Priority].[All]" allUniqueName="[CRM_EXPORT].[Priority].[All]" dimensionUniqueName="[CRM_EXPORT]" displayFolder="" count="0" memberValueDatatype="130" unbalanced="0"/>
    <cacheHierarchy uniqueName="[CRM_EXPORT].[System]" caption="System" attribute="1" defaultMemberUniqueName="[CRM_EXPORT].[System].[All]" allUniqueName="[CRM_EXPORT].[System].[All]" dimensionUniqueName="[CRM_EXPORT]" displayFolder="" count="0" memberValueDatatype="130" unbalanced="0"/>
    <cacheHierarchy uniqueName="[CRM_EXPORT].[Date (Month)]" caption="Date (Month)" attribute="1" defaultMemberUniqueName="[CRM_EXPORT].[Date (Month)].[All]" allUniqueName="[CRM_EXPORT].[Date (Month)].[All]" dimensionUniqueName="[CRM_EXPORT]" displayFolder="" count="0" memberValueDatatype="130" unbalanced="0"/>
    <cacheHierarchy uniqueName="[CRM_EXPORT].[Date (Month Index)]" caption="Date (Month Index)" attribute="1" defaultMemberUniqueName="[CRM_EXPORT].[Date (Month Index)].[All]" allUniqueName="[CRM_EXPORT].[Date (Month Index)].[All]" dimensionUniqueName="[CRM_EXPORT]" displayFolder="" count="0" memberValueDatatype="20" unbalanced="0" hidden="1"/>
    <cacheHierarchy uniqueName="[Measures].[Count of Status]" caption="Count of Status" measure="1" displayFolder="" measureGroup="CRM_EXPORT" count="0">
      <extLst>
        <ext xmlns:x15="http://schemas.microsoft.com/office/spreadsheetml/2010/11/main" uri="{B97F6D7D-B522-45F9-BDA1-12C45D357490}">
          <x15:cacheHierarchy aggregatedColumn="10"/>
        </ext>
      </extLst>
    </cacheHierarchy>
    <cacheHierarchy uniqueName="[Measures].[Sum of Cost]" caption="Sum of Cost" measure="1" displayFolder="" measureGroup="BILLING_EXPORT" count="0">
      <extLst>
        <ext xmlns:x15="http://schemas.microsoft.com/office/spreadsheetml/2010/11/main" uri="{B97F6D7D-B522-45F9-BDA1-12C45D357490}">
          <x15:cacheHierarchy aggregatedColumn="3"/>
        </ext>
      </extLst>
    </cacheHierarchy>
    <cacheHierarchy uniqueName="[Measures].[Count of Status 2]" caption="Count of Status 2" measure="1" displayFolder="" measureGroup="BILLING_EXPORT" count="0">
      <extLst>
        <ext xmlns:x15="http://schemas.microsoft.com/office/spreadsheetml/2010/11/main" uri="{B97F6D7D-B522-45F9-BDA1-12C45D357490}">
          <x15:cacheHierarchy aggregatedColumn="4"/>
        </ext>
      </extLst>
    </cacheHierarchy>
    <cacheHierarchy uniqueName="[Measures].[Sum of Hours 2]" caption="Sum of Hours 2" measure="1" displayFolder="" measureGroup="BILLING_EXPORT" count="0">
      <extLst>
        <ext xmlns:x15="http://schemas.microsoft.com/office/spreadsheetml/2010/11/main" uri="{B97F6D7D-B522-45F9-BDA1-12C45D357490}">
          <x15:cacheHierarchy aggregatedColumn="2"/>
        </ext>
      </extLst>
    </cacheHierarchy>
    <cacheHierarchy uniqueName="[Measures].[Count of Client]" caption="Count of Client" measure="1" displayFolder="" measureGroup="CRM_EXPORT" count="0">
      <extLst>
        <ext xmlns:x15="http://schemas.microsoft.com/office/spreadsheetml/2010/11/main" uri="{B97F6D7D-B522-45F9-BDA1-12C45D357490}">
          <x15:cacheHierarchy aggregatedColumn="8"/>
        </ext>
      </extLst>
    </cacheHierarchy>
    <cacheHierarchy uniqueName="[Measures].[Count of Client 2]" caption="Count of Client 2" measure="1" displayFolder="" measureGroup="BILLING_EXPORT" count="0">
      <extLst>
        <ext xmlns:x15="http://schemas.microsoft.com/office/spreadsheetml/2010/11/main" uri="{B97F6D7D-B522-45F9-BDA1-12C45D357490}">
          <x15:cacheHierarchy aggregatedColumn="1"/>
        </ext>
      </extLst>
    </cacheHierarchy>
    <cacheHierarchy uniqueName="[Measures].[Count of Ticket_ID]" caption="Count of Ticket_ID" measure="1" displayFolder="" measureGroup="CRM_EXPORT" count="0">
      <extLst>
        <ext xmlns:x15="http://schemas.microsoft.com/office/spreadsheetml/2010/11/main" uri="{B97F6D7D-B522-45F9-BDA1-12C45D357490}">
          <x15:cacheHierarchy aggregatedColumn="6"/>
        </ext>
      </extLst>
    </cacheHierarchy>
    <cacheHierarchy uniqueName="[Measures].[Count of Hours]" caption="Count of Hours" measure="1" displayFolder="" measureGroup="BILLING_EXPORT" count="0">
      <extLst>
        <ext xmlns:x15="http://schemas.microsoft.com/office/spreadsheetml/2010/11/main" uri="{B97F6D7D-B522-45F9-BDA1-12C45D357490}">
          <x15:cacheHierarchy aggregatedColumn="2"/>
        </ext>
      </extLst>
    </cacheHierarchy>
    <cacheHierarchy uniqueName="[Measures].[Client Count]" caption="Client Count" measure="1" displayFolder="" measureGroup="CRM_EXPORT" count="0" oneField="1">
      <fieldsUsage count="1">
        <fieldUsage x="0"/>
      </fieldsUsage>
    </cacheHierarchy>
    <cacheHierarchy uniqueName="[Measures].[Avg Cost per Client]" caption="Avg Cost per Client" measure="1" displayFolder="" measureGroup="CRM_EXPORT" count="0" oneField="1">
      <fieldsUsage count="1">
        <fieldUsage x="1"/>
      </fieldsUsage>
    </cacheHierarchy>
    <cacheHierarchy uniqueName="[Measures].[Open Tickets]" caption="Open Tickets" measure="1" displayFolder="" measureGroup="CRM_EXPORT" count="0" oneField="1">
      <fieldsUsage count="1">
        <fieldUsage x="2"/>
      </fieldsUsage>
    </cacheHierarchy>
    <cacheHierarchy uniqueName="[Measures].[Duplicate Check CRM_EXPORT]" caption="Duplicate Check CRM_EXPORT" measure="1" displayFolder="" measureGroup="CRM_EXPORT" count="0" oneField="1">
      <fieldsUsage count="1">
        <fieldUsage x="6"/>
      </fieldsUsage>
    </cacheHierarchy>
    <cacheHierarchy uniqueName="[Measures].[Hourly Rate]" caption="Hourly Rate" measure="1" displayFolder="" measureGroup="CRM_EXPORT" count="0"/>
    <cacheHierarchy uniqueName="[Measures].[Total Cost]" caption="Total Cost" measure="1" displayFolder="" measureGroup="CRM_EXPORT" count="0" oneField="1">
      <fieldsUsage count="1">
        <fieldUsage x="3"/>
      </fieldsUsage>
    </cacheHierarchy>
    <cacheHierarchy uniqueName="[Measures].[__XL_Count CRM_EXPORT]" caption="__XL_Count CRM_EXPORT" measure="1" displayFolder="" measureGroup="CRM_EXPORT" count="0" hidden="1"/>
    <cacheHierarchy uniqueName="[Measures].[__XL_Count BILLING_EXPORT]" caption="__XL_Count BILLING_EXPORT" measure="1" displayFolder="" measureGroup="BILLING_EXPORT" count="0" hidden="1"/>
    <cacheHierarchy uniqueName="[Measures].[__No measures defined]" caption="__No measures defined" measure="1" displayFolder="" count="0" hidden="1"/>
    <cacheHierarchy uniqueName="[Measures].[_Total Cost Goal]" caption="_Total Cost Goal" measure="1" displayFolder="" measureGroup="CRM_EXPORT" count="0" oneField="1" hidden="1">
      <fieldsUsage count="1">
        <fieldUsage x="4"/>
      </fieldsUsage>
    </cacheHierarchy>
    <cacheHierarchy uniqueName="[Measures].[_Total Cost Status]" caption="_Total Cost Status" measure="1" iconSet="8" displayFolder="" measureGroup="CRM_EXPORT" count="0" oneField="1" hidden="1">
      <fieldsUsage count="1">
        <fieldUsage x="5"/>
      </fieldsUsage>
    </cacheHierarchy>
  </cacheHierarchies>
  <kpis count="1">
    <kpi uniqueName="Total Cost" caption="Total Cost" displayFolder="" measureGroup="CRM_EXPORT" parent="" value="[Measures].[Total Cost]" goal="[Measures].[_Total Cost Goal]" status="[Measures].[_Total Cost Status]" trend="" weight=""/>
  </kpis>
  <dimensions count="3">
    <dimension name="BILLING_EXPORT" uniqueName="[BILLING_EXPORT]" caption="BILLING_EXPORT"/>
    <dimension name="CRM_EXPORT" uniqueName="[CRM_EXPORT]" caption="CRM_EXPORT"/>
    <dimension measure="1" name="Measures" uniqueName="[Measures]" caption="Measures"/>
  </dimensions>
  <measureGroups count="2">
    <measureGroup name="BILLING_EXPORT" caption="BILLING_EXPORT"/>
    <measureGroup name="CRM_EXPORT" caption="CRM_EXPORT"/>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6159.785850925924" createdVersion="8" refreshedVersion="8" minRefreshableVersion="3" recordCount="34" xr:uid="{4739EC43-0956-4248-AC03-46B7312380D4}">
  <cacheSource type="worksheet">
    <worksheetSource ref="A1:I35" sheet="CRM_Data"/>
  </cacheSource>
  <cacheFields count="9">
    <cacheField name="Ticket_ID" numFmtId="0">
      <sharedItems/>
    </cacheField>
    <cacheField name="Date" numFmtId="14">
      <sharedItems containsSemiMixedTypes="0" containsNonDate="0" containsDate="1" containsString="0" minDate="2026-01-10T00:00:00" maxDate="2026-03-18T00:00:00"/>
    </cacheField>
    <cacheField name="Client" numFmtId="0">
      <sharedItems/>
    </cacheField>
    <cacheField name="Issue_Type" numFmtId="0">
      <sharedItems/>
    </cacheField>
    <cacheField name="Status" numFmtId="0">
      <sharedItems/>
    </cacheField>
    <cacheField name="Priority" numFmtId="0">
      <sharedItems/>
    </cacheField>
    <cacheField name="System" numFmtId="0">
      <sharedItems/>
    </cacheField>
    <cacheField name="Date (Month Index)" numFmtId="0">
      <sharedItems containsSemiMixedTypes="0" containsString="0" containsNumber="1" containsInteger="1" minValue="1" maxValue="3"/>
    </cacheField>
    <cacheField name="Date (Month)" numFmtId="0">
      <sharedItems count="3">
        <s v="jan"/>
        <s v="fev"/>
        <s v="mar"/>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6159.785851157409" createdVersion="8" refreshedVersion="8" minRefreshableVersion="3" recordCount="34" xr:uid="{3F4D0F50-9A23-4D98-BF9D-252B9162037E}">
  <cacheSource type="worksheet">
    <worksheetSource ref="A1:F35" sheet="Billing_Data"/>
  </cacheSource>
  <cacheFields count="6">
    <cacheField name="Invoice_ID" numFmtId="0">
      <sharedItems/>
    </cacheField>
    <cacheField name="Client" numFmtId="0">
      <sharedItems count="34">
        <s v="Client A"/>
        <s v="Client B"/>
        <s v="Client C"/>
        <s v="Client D"/>
        <s v="Client E"/>
        <s v="Client F"/>
        <s v="Client G"/>
        <s v="Client H"/>
        <s v="Client I"/>
        <s v="Client J"/>
        <s v="Client K"/>
        <s v="Client L"/>
        <s v="Client M"/>
        <s v="Client N"/>
        <s v="Client O"/>
        <s v="Client P"/>
        <s v="Client Q"/>
        <s v="Client R"/>
        <s v="Client S"/>
        <s v="Client T"/>
        <s v="Client U"/>
        <s v="Client V"/>
        <s v="Client W"/>
        <s v="Client X"/>
        <s v="Client Y"/>
        <s v="Client Z"/>
        <s v="Client AA"/>
        <s v="Client BB"/>
        <s v="Client CC"/>
        <s v="Client DD"/>
        <s v="Client EE"/>
        <s v="Client FF"/>
        <s v="Client GG"/>
        <s v="Client HH"/>
      </sharedItems>
    </cacheField>
    <cacheField name="Hours" numFmtId="0">
      <sharedItems containsSemiMixedTypes="0" containsString="0" containsNumber="1" containsInteger="1" minValue="0" maxValue="15"/>
    </cacheField>
    <cacheField name="Cost" numFmtId="0">
      <sharedItems containsSemiMixedTypes="0" containsString="0" containsNumber="1" containsInteger="1" minValue="25" maxValue="750"/>
    </cacheField>
    <cacheField name="Status" numFmtId="0">
      <sharedItems/>
    </cacheField>
    <cacheField name="System" numFmtId="0">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159.78584571759" backgroundQuery="1" createdVersion="3" refreshedVersion="8" minRefreshableVersion="3" recordCount="0" supportSubquery="1" supportAdvancedDrill="1" xr:uid="{9BFBBBB4-FA6C-4790-9A28-D4A4B82155CA}">
  <cacheSource type="external" connectionId="5">
    <extLst>
      <ext xmlns:x14="http://schemas.microsoft.com/office/spreadsheetml/2009/9/main" uri="{F057638F-6D5F-4e77-A914-E7F072B9BCA8}">
        <x14:sourceConnection name="ThisWorkbookDataModel"/>
      </ext>
    </extLst>
  </cacheSource>
  <cacheFields count="0"/>
  <cacheHierarchies count="34">
    <cacheHierarchy uniqueName="[BILLING_EXPORT].[Invoice_ID]" caption="Invoice_ID" attribute="1" defaultMemberUniqueName="[BILLING_EXPORT].[Invoice_ID].[All]" allUniqueName="[BILLING_EXPORT].[Invoice_ID].[All]" dimensionUniqueName="[BILLING_EXPORT]" displayFolder="" count="0" memberValueDatatype="130" unbalanced="0"/>
    <cacheHierarchy uniqueName="[BILLING_EXPORT].[Client]" caption="Client" attribute="1" defaultMemberUniqueName="[BILLING_EXPORT].[Client].[All]" allUniqueName="[BILLING_EXPORT].[Client].[All]" dimensionUniqueName="[BILLING_EXPORT]" displayFolder="" count="0" memberValueDatatype="130" unbalanced="0"/>
    <cacheHierarchy uniqueName="[BILLING_EXPORT].[Hours]" caption="Hours" attribute="1" defaultMemberUniqueName="[BILLING_EXPORT].[Hours].[All]" allUniqueName="[BILLING_EXPORT].[Hours].[All]" dimensionUniqueName="[BILLING_EXPORT]" displayFolder="" count="0" memberValueDatatype="20" unbalanced="0"/>
    <cacheHierarchy uniqueName="[BILLING_EXPORT].[Cost]" caption="Cost" attribute="1" defaultMemberUniqueName="[BILLING_EXPORT].[Cost].[All]" allUniqueName="[BILLING_EXPORT].[Cost].[All]" dimensionUniqueName="[BILLING_EXPORT]" displayFolder="" count="0" memberValueDatatype="20" unbalanced="0"/>
    <cacheHierarchy uniqueName="[BILLING_EXPORT].[Status]" caption="Status" attribute="1" defaultMemberUniqueName="[BILLING_EXPORT].[Status].[All]" allUniqueName="[BILLING_EXPORT].[Status].[All]" dimensionUniqueName="[BILLING_EXPORT]" displayFolder="" count="2" memberValueDatatype="130" unbalanced="0"/>
    <cacheHierarchy uniqueName="[BILLING_EXPORT].[System]" caption="System" attribute="1" defaultMemberUniqueName="[BILLING_EXPORT].[System].[All]" allUniqueName="[BILLING_EXPORT].[System].[All]" dimensionUniqueName="[BILLING_EXPORT]" displayFolder="" count="0" memberValueDatatype="130" unbalanced="0"/>
    <cacheHierarchy uniqueName="[CRM_EXPORT].[Ticket_ID]" caption="Ticket_ID" attribute="1" defaultMemberUniqueName="[CRM_EXPORT].[Ticket_ID].[All]" allUniqueName="[CRM_EXPORT].[Ticket_ID].[All]" dimensionUniqueName="[CRM_EXPORT]" displayFolder="" count="0" memberValueDatatype="130" unbalanced="0"/>
    <cacheHierarchy uniqueName="[CRM_EXPORT].[Date]" caption="Date" attribute="1" time="1" defaultMemberUniqueName="[CRM_EXPORT].[Date].[All]" allUniqueName="[CRM_EXPORT].[Date].[All]" dimensionUniqueName="[CRM_EXPORT]" displayFolder="" count="0" memberValueDatatype="7" unbalanced="0"/>
    <cacheHierarchy uniqueName="[CRM_EXPORT].[Client]" caption="Client" attribute="1" defaultMemberUniqueName="[CRM_EXPORT].[Client].[All]" allUniqueName="[CRM_EXPORT].[Client].[All]" dimensionUniqueName="[CRM_EXPORT]" displayFolder="" count="0" memberValueDatatype="130" unbalanced="0"/>
    <cacheHierarchy uniqueName="[CRM_EXPORT].[Issue_Type]" caption="Issue_Type" attribute="1" defaultMemberUniqueName="[CRM_EXPORT].[Issue_Type].[All]" allUniqueName="[CRM_EXPORT].[Issue_Type].[All]" dimensionUniqueName="[CRM_EXPORT]" displayFolder="" count="0" memberValueDatatype="130" unbalanced="0"/>
    <cacheHierarchy uniqueName="[CRM_EXPORT].[Status]" caption="Status" attribute="1" defaultMemberUniqueName="[CRM_EXPORT].[Status].[All]" allUniqueName="[CRM_EXPORT].[Status].[All]" dimensionUniqueName="[CRM_EXPORT]" displayFolder="" count="0" memberValueDatatype="130" unbalanced="0"/>
    <cacheHierarchy uniqueName="[CRM_EXPORT].[Priority]" caption="Priority" attribute="1" defaultMemberUniqueName="[CRM_EXPORT].[Priority].[All]" allUniqueName="[CRM_EXPORT].[Priority].[All]" dimensionUniqueName="[CRM_EXPORT]" displayFolder="" count="2" memberValueDatatype="130" unbalanced="0"/>
    <cacheHierarchy uniqueName="[CRM_EXPORT].[System]" caption="System" attribute="1" defaultMemberUniqueName="[CRM_EXPORT].[System].[All]" allUniqueName="[CRM_EXPORT].[System].[All]" dimensionUniqueName="[CRM_EXPORT]" displayFolder="" count="0" memberValueDatatype="130" unbalanced="0"/>
    <cacheHierarchy uniqueName="[CRM_EXPORT].[Date (Month)]" caption="Date (Month)" attribute="1" defaultMemberUniqueName="[CRM_EXPORT].[Date (Month)].[All]" allUniqueName="[CRM_EXPORT].[Date (Month)].[All]" dimensionUniqueName="[CRM_EXPORT]" displayFolder="" count="0" memberValueDatatype="130" unbalanced="0"/>
    <cacheHierarchy uniqueName="[CRM_EXPORT].[Date (Month Index)]" caption="Date (Month Index)" attribute="1" defaultMemberUniqueName="[CRM_EXPORT].[Date (Month Index)].[All]" allUniqueName="[CRM_EXPORT].[Date (Month Index)].[All]" dimensionUniqueName="[CRM_EXPORT]" displayFolder="" count="0" memberValueDatatype="20" unbalanced="0" hidden="1"/>
    <cacheHierarchy uniqueName="[Measures].[Count of Status]" caption="Count of Status" measure="1" displayFolder="" measureGroup="CRM_EXPORT" count="0">
      <extLst>
        <ext xmlns:x15="http://schemas.microsoft.com/office/spreadsheetml/2010/11/main" uri="{B97F6D7D-B522-45F9-BDA1-12C45D357490}">
          <x15:cacheHierarchy aggregatedColumn="10"/>
        </ext>
      </extLst>
    </cacheHierarchy>
    <cacheHierarchy uniqueName="[Measures].[Sum of Cost]" caption="Sum of Cost" measure="1" displayFolder="" measureGroup="BILLING_EXPORT" count="0">
      <extLst>
        <ext xmlns:x15="http://schemas.microsoft.com/office/spreadsheetml/2010/11/main" uri="{B97F6D7D-B522-45F9-BDA1-12C45D357490}">
          <x15:cacheHierarchy aggregatedColumn="3"/>
        </ext>
      </extLst>
    </cacheHierarchy>
    <cacheHierarchy uniqueName="[Measures].[Count of Status 2]" caption="Count of Status 2" measure="1" displayFolder="" measureGroup="BILLING_EXPORT" count="0">
      <extLst>
        <ext xmlns:x15="http://schemas.microsoft.com/office/spreadsheetml/2010/11/main" uri="{B97F6D7D-B522-45F9-BDA1-12C45D357490}">
          <x15:cacheHierarchy aggregatedColumn="4"/>
        </ext>
      </extLst>
    </cacheHierarchy>
    <cacheHierarchy uniqueName="[Measures].[Sum of Hours 2]" caption="Sum of Hours 2" measure="1" displayFolder="" measureGroup="BILLING_EXPORT" count="0">
      <extLst>
        <ext xmlns:x15="http://schemas.microsoft.com/office/spreadsheetml/2010/11/main" uri="{B97F6D7D-B522-45F9-BDA1-12C45D357490}">
          <x15:cacheHierarchy aggregatedColumn="2"/>
        </ext>
      </extLst>
    </cacheHierarchy>
    <cacheHierarchy uniqueName="[Measures].[Count of Client]" caption="Count of Client" measure="1" displayFolder="" measureGroup="CRM_EXPORT" count="0">
      <extLst>
        <ext xmlns:x15="http://schemas.microsoft.com/office/spreadsheetml/2010/11/main" uri="{B97F6D7D-B522-45F9-BDA1-12C45D357490}">
          <x15:cacheHierarchy aggregatedColumn="8"/>
        </ext>
      </extLst>
    </cacheHierarchy>
    <cacheHierarchy uniqueName="[Measures].[Count of Client 2]" caption="Count of Client 2" measure="1" displayFolder="" measureGroup="BILLING_EXPORT" count="0">
      <extLst>
        <ext xmlns:x15="http://schemas.microsoft.com/office/spreadsheetml/2010/11/main" uri="{B97F6D7D-B522-45F9-BDA1-12C45D357490}">
          <x15:cacheHierarchy aggregatedColumn="1"/>
        </ext>
      </extLst>
    </cacheHierarchy>
    <cacheHierarchy uniqueName="[Measures].[Count of Ticket_ID]" caption="Count of Ticket_ID" measure="1" displayFolder="" measureGroup="CRM_EXPORT" count="0">
      <extLst>
        <ext xmlns:x15="http://schemas.microsoft.com/office/spreadsheetml/2010/11/main" uri="{B97F6D7D-B522-45F9-BDA1-12C45D357490}">
          <x15:cacheHierarchy aggregatedColumn="6"/>
        </ext>
      </extLst>
    </cacheHierarchy>
    <cacheHierarchy uniqueName="[Measures].[Count of Hours]" caption="Count of Hours" measure="1" displayFolder="" measureGroup="BILLING_EXPORT" count="0">
      <extLst>
        <ext xmlns:x15="http://schemas.microsoft.com/office/spreadsheetml/2010/11/main" uri="{B97F6D7D-B522-45F9-BDA1-12C45D357490}">
          <x15:cacheHierarchy aggregatedColumn="2"/>
        </ext>
      </extLst>
    </cacheHierarchy>
    <cacheHierarchy uniqueName="[Measures].[Client Count]" caption="Client Count" measure="1" displayFolder="" measureGroup="CRM_EXPORT" count="0"/>
    <cacheHierarchy uniqueName="[Measures].[Avg Cost per Client]" caption="Avg Cost per Client" measure="1" displayFolder="" measureGroup="CRM_EXPORT" count="0"/>
    <cacheHierarchy uniqueName="[Measures].[Open Tickets]" caption="Open Tickets" measure="1" displayFolder="" measureGroup="CRM_EXPORT" count="0"/>
    <cacheHierarchy uniqueName="[Measures].[Duplicate Check CRM_EXPORT]" caption="Duplicate Check CRM_EXPORT" measure="1" displayFolder="" measureGroup="CRM_EXPORT" count="0"/>
    <cacheHierarchy uniqueName="[Measures].[Hourly Rate]" caption="Hourly Rate" measure="1" displayFolder="" measureGroup="CRM_EXPORT" count="0"/>
    <cacheHierarchy uniqueName="[Measures].[Total Cost]" caption="Total Cost" measure="1" displayFolder="" measureGroup="CRM_EXPORT" count="0"/>
    <cacheHierarchy uniqueName="[Measures].[__XL_Count CRM_EXPORT]" caption="__XL_Count CRM_EXPORT" measure="1" displayFolder="" measureGroup="CRM_EXPORT" count="0" hidden="1"/>
    <cacheHierarchy uniqueName="[Measures].[__XL_Count BILLING_EXPORT]" caption="__XL_Count BILLING_EXPORT" measure="1" displayFolder="" measureGroup="BILLING_EXPORT" count="0" hidden="1"/>
    <cacheHierarchy uniqueName="[Measures].[__No measures defined]" caption="__No measures defined" measure="1" displayFolder="" count="0" hidden="1"/>
    <cacheHierarchy uniqueName="[Measures].[_Total Cost Goal]" caption="_Total Cost Goal" measure="1" displayFolder="" measureGroup="CRM_EXPORT" count="0" hidden="1"/>
    <cacheHierarchy uniqueName="[Measures].[_Total Cost Status]" caption="_Total Cost Status" measure="1" iconSet="8" displayFolder="" measureGroup="CRM_EXPORT" count="0" hidden="1"/>
  </cacheHierarchies>
  <kpis count="1">
    <kpi uniqueName="Total Cost" caption="Total Cost" displayFolder="" measureGroup="CRM_EXPORT" parent="" value="[Measures].[Total Cost]" goal="[Measures].[_Total Cost Goal]" status="[Measures].[_Total Cost Status]" trend="" weight=""/>
  </kpis>
  <extLst>
    <ext xmlns:x14="http://schemas.microsoft.com/office/spreadsheetml/2009/9/main" uri="{725AE2AE-9491-48be-B2B4-4EB974FC3084}">
      <x14:pivotCacheDefinition slicerData="1" pivotCacheId="1273012759"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159.785845023151" backgroundQuery="1" createdVersion="8" refreshedVersion="8" minRefreshableVersion="3" recordCount="0" supportSubquery="1" supportAdvancedDrill="1" xr:uid="{89E4D573-FE2F-4A4A-BB17-D7FB4C4DC884}">
  <cacheSource type="external" connectionId="5">
    <extLst>
      <ext xmlns:x14="http://schemas.microsoft.com/office/spreadsheetml/2009/9/main" uri="{F057638F-6D5F-4e77-A914-E7F072B9BCA8}">
        <x14:sourceConnection name="ThisWorkbookDataModel"/>
      </ext>
    </extLst>
  </cacheSource>
  <cacheFields count="2">
    <cacheField name="[BILLING_EXPORT].[Client].[Client]" caption="Client" numFmtId="0" hierarchy="1" level="1">
      <sharedItems count="34">
        <s v="Client A"/>
        <s v="Client AA"/>
        <s v="Client B"/>
        <s v="Client BB"/>
        <s v="Client C"/>
        <s v="Client CC"/>
        <s v="Client D"/>
        <s v="Client DD"/>
        <s v="Client E"/>
        <s v="Client EE"/>
        <s v="Client F"/>
        <s v="Client FF"/>
        <s v="Client G"/>
        <s v="Client GG"/>
        <s v="Client H"/>
        <s v="Client HH"/>
        <s v="Client I"/>
        <s v="Client J"/>
        <s v="Client K"/>
        <s v="Client L"/>
        <s v="Client M"/>
        <s v="Client N"/>
        <s v="Client O"/>
        <s v="Client P"/>
        <s v="Client Q"/>
        <s v="Client R"/>
        <s v="Client S"/>
        <s v="Client T"/>
        <s v="Client U"/>
        <s v="Client V"/>
        <s v="Client W"/>
        <s v="Client X"/>
        <s v="Client Y"/>
        <s v="Client Z"/>
      </sharedItems>
    </cacheField>
    <cacheField name="[Measures].[Sum of Cost]" caption="Sum of Cost" numFmtId="0" hierarchy="16" level="32767"/>
  </cacheFields>
  <cacheHierarchies count="34">
    <cacheHierarchy uniqueName="[BILLING_EXPORT].[Invoice_ID]" caption="Invoice_ID" attribute="1" defaultMemberUniqueName="[BILLING_EXPORT].[Invoice_ID].[All]" allUniqueName="[BILLING_EXPORT].[Invoice_ID].[All]" dimensionUniqueName="[BILLING_EXPORT]" displayFolder="" count="0" memberValueDatatype="130" unbalanced="0"/>
    <cacheHierarchy uniqueName="[BILLING_EXPORT].[Client]" caption="Client" attribute="1" defaultMemberUniqueName="[BILLING_EXPORT].[Client].[All]" allUniqueName="[BILLING_EXPORT].[Client].[All]" dimensionUniqueName="[BILLING_EXPORT]" displayFolder="" count="2" memberValueDatatype="130" unbalanced="0">
      <fieldsUsage count="2">
        <fieldUsage x="-1"/>
        <fieldUsage x="0"/>
      </fieldsUsage>
    </cacheHierarchy>
    <cacheHierarchy uniqueName="[BILLING_EXPORT].[Hours]" caption="Hours" attribute="1" defaultMemberUniqueName="[BILLING_EXPORT].[Hours].[All]" allUniqueName="[BILLING_EXPORT].[Hours].[All]" dimensionUniqueName="[BILLING_EXPORT]" displayFolder="" count="0" memberValueDatatype="20" unbalanced="0"/>
    <cacheHierarchy uniqueName="[BILLING_EXPORT].[Cost]" caption="Cost" attribute="1" defaultMemberUniqueName="[BILLING_EXPORT].[Cost].[All]" allUniqueName="[BILLING_EXPORT].[Cost].[All]" dimensionUniqueName="[BILLING_EXPORT]" displayFolder="" count="0" memberValueDatatype="20" unbalanced="0"/>
    <cacheHierarchy uniqueName="[BILLING_EXPORT].[Status]" caption="Status" attribute="1" defaultMemberUniqueName="[BILLING_EXPORT].[Status].[All]" allUniqueName="[BILLING_EXPORT].[Status].[All]" dimensionUniqueName="[BILLING_EXPORT]" displayFolder="" count="0" memberValueDatatype="130" unbalanced="0"/>
    <cacheHierarchy uniqueName="[BILLING_EXPORT].[System]" caption="System" attribute="1" defaultMemberUniqueName="[BILLING_EXPORT].[System].[All]" allUniqueName="[BILLING_EXPORT].[System].[All]" dimensionUniqueName="[BILLING_EXPORT]" displayFolder="" count="0" memberValueDatatype="130" unbalanced="0"/>
    <cacheHierarchy uniqueName="[CRM_EXPORT].[Ticket_ID]" caption="Ticket_ID" attribute="1" defaultMemberUniqueName="[CRM_EXPORT].[Ticket_ID].[All]" allUniqueName="[CRM_EXPORT].[Ticket_ID].[All]" dimensionUniqueName="[CRM_EXPORT]" displayFolder="" count="0" memberValueDatatype="130" unbalanced="0"/>
    <cacheHierarchy uniqueName="[CRM_EXPORT].[Date]" caption="Date" attribute="1" time="1" defaultMemberUniqueName="[CRM_EXPORT].[Date].[All]" allUniqueName="[CRM_EXPORT].[Date].[All]" dimensionUniqueName="[CRM_EXPORT]" displayFolder="" count="0" memberValueDatatype="7" unbalanced="0"/>
    <cacheHierarchy uniqueName="[CRM_EXPORT].[Client]" caption="Client" attribute="1" defaultMemberUniqueName="[CRM_EXPORT].[Client].[All]" allUniqueName="[CRM_EXPORT].[Client].[All]" dimensionUniqueName="[CRM_EXPORT]" displayFolder="" count="0" memberValueDatatype="130" unbalanced="0"/>
    <cacheHierarchy uniqueName="[CRM_EXPORT].[Issue_Type]" caption="Issue_Type" attribute="1" defaultMemberUniqueName="[CRM_EXPORT].[Issue_Type].[All]" allUniqueName="[CRM_EXPORT].[Issue_Type].[All]" dimensionUniqueName="[CRM_EXPORT]" displayFolder="" count="0" memberValueDatatype="130" unbalanced="0"/>
    <cacheHierarchy uniqueName="[CRM_EXPORT].[Status]" caption="Status" attribute="1" defaultMemberUniqueName="[CRM_EXPORT].[Status].[All]" allUniqueName="[CRM_EXPORT].[Status].[All]" dimensionUniqueName="[CRM_EXPORT]" displayFolder="" count="0" memberValueDatatype="130" unbalanced="0"/>
    <cacheHierarchy uniqueName="[CRM_EXPORT].[Priority]" caption="Priority" attribute="1" defaultMemberUniqueName="[CRM_EXPORT].[Priority].[All]" allUniqueName="[CRM_EXPORT].[Priority].[All]" dimensionUniqueName="[CRM_EXPORT]" displayFolder="" count="0" memberValueDatatype="130" unbalanced="0"/>
    <cacheHierarchy uniqueName="[CRM_EXPORT].[System]" caption="System" attribute="1" defaultMemberUniqueName="[CRM_EXPORT].[System].[All]" allUniqueName="[CRM_EXPORT].[System].[All]" dimensionUniqueName="[CRM_EXPORT]" displayFolder="" count="0" memberValueDatatype="130" unbalanced="0"/>
    <cacheHierarchy uniqueName="[CRM_EXPORT].[Date (Month)]" caption="Date (Month)" attribute="1" defaultMemberUniqueName="[CRM_EXPORT].[Date (Month)].[All]" allUniqueName="[CRM_EXPORT].[Date (Month)].[All]" dimensionUniqueName="[CRM_EXPORT]" displayFolder="" count="0" memberValueDatatype="130" unbalanced="0"/>
    <cacheHierarchy uniqueName="[CRM_EXPORT].[Date (Month Index)]" caption="Date (Month Index)" attribute="1" defaultMemberUniqueName="[CRM_EXPORT].[Date (Month Index)].[All]" allUniqueName="[CRM_EXPORT].[Date (Month Index)].[All]" dimensionUniqueName="[CRM_EXPORT]" displayFolder="" count="0" memberValueDatatype="20" unbalanced="0" hidden="1"/>
    <cacheHierarchy uniqueName="[Measures].[Count of Status]" caption="Count of Status" measure="1" displayFolder="" measureGroup="CRM_EXPORT" count="0">
      <extLst>
        <ext xmlns:x15="http://schemas.microsoft.com/office/spreadsheetml/2010/11/main" uri="{B97F6D7D-B522-45F9-BDA1-12C45D357490}">
          <x15:cacheHierarchy aggregatedColumn="10"/>
        </ext>
      </extLst>
    </cacheHierarchy>
    <cacheHierarchy uniqueName="[Measures].[Sum of Cost]" caption="Sum of Cost" measure="1" displayFolder="" measureGroup="BILLING_EXPORT" count="0" oneField="1">
      <fieldsUsage count="1">
        <fieldUsage x="1"/>
      </fieldsUsage>
      <extLst>
        <ext xmlns:x15="http://schemas.microsoft.com/office/spreadsheetml/2010/11/main" uri="{B97F6D7D-B522-45F9-BDA1-12C45D357490}">
          <x15:cacheHierarchy aggregatedColumn="3"/>
        </ext>
      </extLst>
    </cacheHierarchy>
    <cacheHierarchy uniqueName="[Measures].[Count of Status 2]" caption="Count of Status 2" measure="1" displayFolder="" measureGroup="BILLING_EXPORT" count="0">
      <extLst>
        <ext xmlns:x15="http://schemas.microsoft.com/office/spreadsheetml/2010/11/main" uri="{B97F6D7D-B522-45F9-BDA1-12C45D357490}">
          <x15:cacheHierarchy aggregatedColumn="4"/>
        </ext>
      </extLst>
    </cacheHierarchy>
    <cacheHierarchy uniqueName="[Measures].[Sum of Hours 2]" caption="Sum of Hours 2" measure="1" displayFolder="" measureGroup="BILLING_EXPORT" count="0">
      <extLst>
        <ext xmlns:x15="http://schemas.microsoft.com/office/spreadsheetml/2010/11/main" uri="{B97F6D7D-B522-45F9-BDA1-12C45D357490}">
          <x15:cacheHierarchy aggregatedColumn="2"/>
        </ext>
      </extLst>
    </cacheHierarchy>
    <cacheHierarchy uniqueName="[Measures].[Count of Client]" caption="Count of Client" measure="1" displayFolder="" measureGroup="CRM_EXPORT" count="0">
      <extLst>
        <ext xmlns:x15="http://schemas.microsoft.com/office/spreadsheetml/2010/11/main" uri="{B97F6D7D-B522-45F9-BDA1-12C45D357490}">
          <x15:cacheHierarchy aggregatedColumn="8"/>
        </ext>
      </extLst>
    </cacheHierarchy>
    <cacheHierarchy uniqueName="[Measures].[Count of Client 2]" caption="Count of Client 2" measure="1" displayFolder="" measureGroup="BILLING_EXPORT" count="0">
      <extLst>
        <ext xmlns:x15="http://schemas.microsoft.com/office/spreadsheetml/2010/11/main" uri="{B97F6D7D-B522-45F9-BDA1-12C45D357490}">
          <x15:cacheHierarchy aggregatedColumn="1"/>
        </ext>
      </extLst>
    </cacheHierarchy>
    <cacheHierarchy uniqueName="[Measures].[Count of Ticket_ID]" caption="Count of Ticket_ID" measure="1" displayFolder="" measureGroup="CRM_EXPORT" count="0">
      <extLst>
        <ext xmlns:x15="http://schemas.microsoft.com/office/spreadsheetml/2010/11/main" uri="{B97F6D7D-B522-45F9-BDA1-12C45D357490}">
          <x15:cacheHierarchy aggregatedColumn="6"/>
        </ext>
      </extLst>
    </cacheHierarchy>
    <cacheHierarchy uniqueName="[Measures].[Count of Hours]" caption="Count of Hours" measure="1" displayFolder="" measureGroup="BILLING_EXPORT" count="0">
      <extLst>
        <ext xmlns:x15="http://schemas.microsoft.com/office/spreadsheetml/2010/11/main" uri="{B97F6D7D-B522-45F9-BDA1-12C45D357490}">
          <x15:cacheHierarchy aggregatedColumn="2"/>
        </ext>
      </extLst>
    </cacheHierarchy>
    <cacheHierarchy uniqueName="[Measures].[Client Count]" caption="Client Count" measure="1" displayFolder="" measureGroup="CRM_EXPORT" count="0"/>
    <cacheHierarchy uniqueName="[Measures].[Avg Cost per Client]" caption="Avg Cost per Client" measure="1" displayFolder="" measureGroup="CRM_EXPORT" count="0"/>
    <cacheHierarchy uniqueName="[Measures].[Open Tickets]" caption="Open Tickets" measure="1" displayFolder="" measureGroup="CRM_EXPORT" count="0"/>
    <cacheHierarchy uniqueName="[Measures].[Duplicate Check CRM_EXPORT]" caption="Duplicate Check CRM_EXPORT" measure="1" displayFolder="" measureGroup="CRM_EXPORT" count="0"/>
    <cacheHierarchy uniqueName="[Measures].[Hourly Rate]" caption="Hourly Rate" measure="1" displayFolder="" measureGroup="CRM_EXPORT" count="0"/>
    <cacheHierarchy uniqueName="[Measures].[Total Cost]" caption="Total Cost" measure="1" displayFolder="" measureGroup="CRM_EXPORT" count="0"/>
    <cacheHierarchy uniqueName="[Measures].[__XL_Count CRM_EXPORT]" caption="__XL_Count CRM_EXPORT" measure="1" displayFolder="" measureGroup="CRM_EXPORT" count="0" hidden="1"/>
    <cacheHierarchy uniqueName="[Measures].[__XL_Count BILLING_EXPORT]" caption="__XL_Count BILLING_EXPORT" measure="1" displayFolder="" measureGroup="BILLING_EXPORT" count="0" hidden="1"/>
    <cacheHierarchy uniqueName="[Measures].[__No measures defined]" caption="__No measures defined" measure="1" displayFolder="" count="0" hidden="1"/>
    <cacheHierarchy uniqueName="[Measures].[_Total Cost Goal]" caption="_Total Cost Goal" measure="1" displayFolder="" measureGroup="CRM_EXPORT" count="0" hidden="1"/>
    <cacheHierarchy uniqueName="[Measures].[_Total Cost Status]" caption="_Total Cost Status" measure="1" iconSet="8" displayFolder="" measureGroup="CRM_EXPORT" count="0" hidden="1"/>
  </cacheHierarchies>
  <kpis count="1">
    <kpi uniqueName="Total Cost" caption="Total Cost" displayFolder="" measureGroup="CRM_EXPORT" parent="" value="[Measures].[Total Cost]" goal="[Measures].[_Total Cost Goal]" status="[Measures].[_Total Cost Status]" trend="" weight=""/>
  </kpis>
  <dimensions count="3">
    <dimension name="BILLING_EXPORT" uniqueName="[BILLING_EXPORT]" caption="BILLING_EXPORT"/>
    <dimension name="CRM_EXPORT" uniqueName="[CRM_EXPORT]" caption="CRM_EXPORT"/>
    <dimension measure="1" name="Measures" uniqueName="[Measures]" caption="Measures"/>
  </dimensions>
  <measureGroups count="2">
    <measureGroup name="BILLING_EXPORT" caption="BILLING_EXPORT"/>
    <measureGroup name="CRM_EXPORT" caption="CRM_EXPORT"/>
  </measureGroups>
  <maps count="3">
    <map measureGroup="0" dimension="0"/>
    <map measureGroup="1" dimension="0"/>
    <map measureGroup="1" dimension="1"/>
  </maps>
  <extLst>
    <ext xmlns:x14="http://schemas.microsoft.com/office/spreadsheetml/2009/9/main" uri="{725AE2AE-9491-48be-B2B4-4EB974FC3084}">
      <x14:pivotCacheDefinition pivotCacheId="427183719"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159.785850925924" backgroundQuery="1" createdVersion="8" refreshedVersion="8" minRefreshableVersion="3" recordCount="0" supportSubquery="1" supportAdvancedDrill="1" xr:uid="{DCF5BFCA-22BF-4B8E-A8BE-6FA97E27CA7D}">
  <cacheSource type="external" connectionId="5">
    <extLst>
      <ext xmlns:x14="http://schemas.microsoft.com/office/spreadsheetml/2009/9/main" uri="{F057638F-6D5F-4e77-A914-E7F072B9BCA8}">
        <x14:sourceConnection name="ThisWorkbookDataModel"/>
      </ext>
    </extLst>
  </cacheSource>
  <cacheFields count="2">
    <cacheField name="[Measures].[Count of Status]" caption="Count of Status" numFmtId="0" hierarchy="15" level="32767"/>
    <cacheField name="[BILLING_EXPORT].[Status].[Status]" caption="Status" numFmtId="0" hierarchy="4" level="1">
      <sharedItems count="2">
        <s v="Paid"/>
        <s v="Pending"/>
      </sharedItems>
    </cacheField>
  </cacheFields>
  <cacheHierarchies count="34">
    <cacheHierarchy uniqueName="[BILLING_EXPORT].[Invoice_ID]" caption="Invoice_ID" attribute="1" defaultMemberUniqueName="[BILLING_EXPORT].[Invoice_ID].[All]" allUniqueName="[BILLING_EXPORT].[Invoice_ID].[All]" dimensionUniqueName="[BILLING_EXPORT]" displayFolder="" count="0" memberValueDatatype="130" unbalanced="0"/>
    <cacheHierarchy uniqueName="[BILLING_EXPORT].[Client]" caption="Client" attribute="1" defaultMemberUniqueName="[BILLING_EXPORT].[Client].[All]" allUniqueName="[BILLING_EXPORT].[Client].[All]" dimensionUniqueName="[BILLING_EXPORT]" displayFolder="" count="0" memberValueDatatype="130" unbalanced="0"/>
    <cacheHierarchy uniqueName="[BILLING_EXPORT].[Hours]" caption="Hours" attribute="1" defaultMemberUniqueName="[BILLING_EXPORT].[Hours].[All]" allUniqueName="[BILLING_EXPORT].[Hours].[All]" dimensionUniqueName="[BILLING_EXPORT]" displayFolder="" count="0" memberValueDatatype="20" unbalanced="0"/>
    <cacheHierarchy uniqueName="[BILLING_EXPORT].[Cost]" caption="Cost" attribute="1" defaultMemberUniqueName="[BILLING_EXPORT].[Cost].[All]" allUniqueName="[BILLING_EXPORT].[Cost].[All]" dimensionUniqueName="[BILLING_EXPORT]" displayFolder="" count="0" memberValueDatatype="20" unbalanced="0"/>
    <cacheHierarchy uniqueName="[BILLING_EXPORT].[Status]" caption="Status" attribute="1" defaultMemberUniqueName="[BILLING_EXPORT].[Status].[All]" allUniqueName="[BILLING_EXPORT].[Status].[All]" dimensionUniqueName="[BILLING_EXPORT]" displayFolder="" count="2" memberValueDatatype="130" unbalanced="0">
      <fieldsUsage count="2">
        <fieldUsage x="-1"/>
        <fieldUsage x="1"/>
      </fieldsUsage>
    </cacheHierarchy>
    <cacheHierarchy uniqueName="[BILLING_EXPORT].[System]" caption="System" attribute="1" defaultMemberUniqueName="[BILLING_EXPORT].[System].[All]" allUniqueName="[BILLING_EXPORT].[System].[All]" dimensionUniqueName="[BILLING_EXPORT]" displayFolder="" count="0" memberValueDatatype="130" unbalanced="0"/>
    <cacheHierarchy uniqueName="[CRM_EXPORT].[Ticket_ID]" caption="Ticket_ID" attribute="1" defaultMemberUniqueName="[CRM_EXPORT].[Ticket_ID].[All]" allUniqueName="[CRM_EXPORT].[Ticket_ID].[All]" dimensionUniqueName="[CRM_EXPORT]" displayFolder="" count="0" memberValueDatatype="130" unbalanced="0"/>
    <cacheHierarchy uniqueName="[CRM_EXPORT].[Date]" caption="Date" attribute="1" time="1" defaultMemberUniqueName="[CRM_EXPORT].[Date].[All]" allUniqueName="[CRM_EXPORT].[Date].[All]" dimensionUniqueName="[CRM_EXPORT]" displayFolder="" count="0" memberValueDatatype="7" unbalanced="0"/>
    <cacheHierarchy uniqueName="[CRM_EXPORT].[Client]" caption="Client" attribute="1" defaultMemberUniqueName="[CRM_EXPORT].[Client].[All]" allUniqueName="[CRM_EXPORT].[Client].[All]" dimensionUniqueName="[CRM_EXPORT]" displayFolder="" count="0" memberValueDatatype="130" unbalanced="0"/>
    <cacheHierarchy uniqueName="[CRM_EXPORT].[Issue_Type]" caption="Issue_Type" attribute="1" defaultMemberUniqueName="[CRM_EXPORT].[Issue_Type].[All]" allUniqueName="[CRM_EXPORT].[Issue_Type].[All]" dimensionUniqueName="[CRM_EXPORT]" displayFolder="" count="0" memberValueDatatype="130" unbalanced="0"/>
    <cacheHierarchy uniqueName="[CRM_EXPORT].[Status]" caption="Status" attribute="1" defaultMemberUniqueName="[CRM_EXPORT].[Status].[All]" allUniqueName="[CRM_EXPORT].[Status].[All]" dimensionUniqueName="[CRM_EXPORT]" displayFolder="" count="0" memberValueDatatype="130" unbalanced="0"/>
    <cacheHierarchy uniqueName="[CRM_EXPORT].[Priority]" caption="Priority" attribute="1" defaultMemberUniqueName="[CRM_EXPORT].[Priority].[All]" allUniqueName="[CRM_EXPORT].[Priority].[All]" dimensionUniqueName="[CRM_EXPORT]" displayFolder="" count="0" memberValueDatatype="130" unbalanced="0"/>
    <cacheHierarchy uniqueName="[CRM_EXPORT].[System]" caption="System" attribute="1" defaultMemberUniqueName="[CRM_EXPORT].[System].[All]" allUniqueName="[CRM_EXPORT].[System].[All]" dimensionUniqueName="[CRM_EXPORT]" displayFolder="" count="0" memberValueDatatype="130" unbalanced="0"/>
    <cacheHierarchy uniqueName="[CRM_EXPORT].[Date (Month)]" caption="Date (Month)" attribute="1" defaultMemberUniqueName="[CRM_EXPORT].[Date (Month)].[All]" allUniqueName="[CRM_EXPORT].[Date (Month)].[All]" dimensionUniqueName="[CRM_EXPORT]" displayFolder="" count="0" memberValueDatatype="130" unbalanced="0"/>
    <cacheHierarchy uniqueName="[CRM_EXPORT].[Date (Month Index)]" caption="Date (Month Index)" attribute="1" defaultMemberUniqueName="[CRM_EXPORT].[Date (Month Index)].[All]" allUniqueName="[CRM_EXPORT].[Date (Month Index)].[All]" dimensionUniqueName="[CRM_EXPORT]" displayFolder="" count="0" memberValueDatatype="20" unbalanced="0" hidden="1"/>
    <cacheHierarchy uniqueName="[Measures].[Count of Status]" caption="Count of Status" measure="1" displayFolder="" measureGroup="CRM_EXPORT" count="0" oneField="1">
      <fieldsUsage count="1">
        <fieldUsage x="0"/>
      </fieldsUsage>
      <extLst>
        <ext xmlns:x15="http://schemas.microsoft.com/office/spreadsheetml/2010/11/main" uri="{B97F6D7D-B522-45F9-BDA1-12C45D357490}">
          <x15:cacheHierarchy aggregatedColumn="10"/>
        </ext>
      </extLst>
    </cacheHierarchy>
    <cacheHierarchy uniqueName="[Measures].[Sum of Cost]" caption="Sum of Cost" measure="1" displayFolder="" measureGroup="BILLING_EXPORT" count="0">
      <extLst>
        <ext xmlns:x15="http://schemas.microsoft.com/office/spreadsheetml/2010/11/main" uri="{B97F6D7D-B522-45F9-BDA1-12C45D357490}">
          <x15:cacheHierarchy aggregatedColumn="3"/>
        </ext>
      </extLst>
    </cacheHierarchy>
    <cacheHierarchy uniqueName="[Measures].[Count of Status 2]" caption="Count of Status 2" measure="1" displayFolder="" measureGroup="BILLING_EXPORT" count="0">
      <extLst>
        <ext xmlns:x15="http://schemas.microsoft.com/office/spreadsheetml/2010/11/main" uri="{B97F6D7D-B522-45F9-BDA1-12C45D357490}">
          <x15:cacheHierarchy aggregatedColumn="4"/>
        </ext>
      </extLst>
    </cacheHierarchy>
    <cacheHierarchy uniqueName="[Measures].[Sum of Hours 2]" caption="Sum of Hours 2" measure="1" displayFolder="" measureGroup="BILLING_EXPORT" count="0">
      <extLst>
        <ext xmlns:x15="http://schemas.microsoft.com/office/spreadsheetml/2010/11/main" uri="{B97F6D7D-B522-45F9-BDA1-12C45D357490}">
          <x15:cacheHierarchy aggregatedColumn="2"/>
        </ext>
      </extLst>
    </cacheHierarchy>
    <cacheHierarchy uniqueName="[Measures].[Count of Client]" caption="Count of Client" measure="1" displayFolder="" measureGroup="CRM_EXPORT" count="0">
      <extLst>
        <ext xmlns:x15="http://schemas.microsoft.com/office/spreadsheetml/2010/11/main" uri="{B97F6D7D-B522-45F9-BDA1-12C45D357490}">
          <x15:cacheHierarchy aggregatedColumn="8"/>
        </ext>
      </extLst>
    </cacheHierarchy>
    <cacheHierarchy uniqueName="[Measures].[Count of Client 2]" caption="Count of Client 2" measure="1" displayFolder="" measureGroup="BILLING_EXPORT" count="0">
      <extLst>
        <ext xmlns:x15="http://schemas.microsoft.com/office/spreadsheetml/2010/11/main" uri="{B97F6D7D-B522-45F9-BDA1-12C45D357490}">
          <x15:cacheHierarchy aggregatedColumn="1"/>
        </ext>
      </extLst>
    </cacheHierarchy>
    <cacheHierarchy uniqueName="[Measures].[Count of Ticket_ID]" caption="Count of Ticket_ID" measure="1" displayFolder="" measureGroup="CRM_EXPORT" count="0">
      <extLst>
        <ext xmlns:x15="http://schemas.microsoft.com/office/spreadsheetml/2010/11/main" uri="{B97F6D7D-B522-45F9-BDA1-12C45D357490}">
          <x15:cacheHierarchy aggregatedColumn="6"/>
        </ext>
      </extLst>
    </cacheHierarchy>
    <cacheHierarchy uniqueName="[Measures].[Count of Hours]" caption="Count of Hours" measure="1" displayFolder="" measureGroup="BILLING_EXPORT" count="0">
      <extLst>
        <ext xmlns:x15="http://schemas.microsoft.com/office/spreadsheetml/2010/11/main" uri="{B97F6D7D-B522-45F9-BDA1-12C45D357490}">
          <x15:cacheHierarchy aggregatedColumn="2"/>
        </ext>
      </extLst>
    </cacheHierarchy>
    <cacheHierarchy uniqueName="[Measures].[Client Count]" caption="Client Count" measure="1" displayFolder="" measureGroup="CRM_EXPORT" count="0"/>
    <cacheHierarchy uniqueName="[Measures].[Avg Cost per Client]" caption="Avg Cost per Client" measure="1" displayFolder="" measureGroup="CRM_EXPORT" count="0"/>
    <cacheHierarchy uniqueName="[Measures].[Open Tickets]" caption="Open Tickets" measure="1" displayFolder="" measureGroup="CRM_EXPORT" count="0"/>
    <cacheHierarchy uniqueName="[Measures].[Duplicate Check CRM_EXPORT]" caption="Duplicate Check CRM_EXPORT" measure="1" displayFolder="" measureGroup="CRM_EXPORT" count="0"/>
    <cacheHierarchy uniqueName="[Measures].[Hourly Rate]" caption="Hourly Rate" measure="1" displayFolder="" measureGroup="CRM_EXPORT" count="0"/>
    <cacheHierarchy uniqueName="[Measures].[Total Cost]" caption="Total Cost" measure="1" displayFolder="" measureGroup="CRM_EXPORT" count="0"/>
    <cacheHierarchy uniqueName="[Measures].[__XL_Count CRM_EXPORT]" caption="__XL_Count CRM_EXPORT" measure="1" displayFolder="" measureGroup="CRM_EXPORT" count="0" hidden="1"/>
    <cacheHierarchy uniqueName="[Measures].[__XL_Count BILLING_EXPORT]" caption="__XL_Count BILLING_EXPORT" measure="1" displayFolder="" measureGroup="BILLING_EXPORT" count="0" hidden="1"/>
    <cacheHierarchy uniqueName="[Measures].[__No measures defined]" caption="__No measures defined" measure="1" displayFolder="" count="0" hidden="1"/>
    <cacheHierarchy uniqueName="[Measures].[_Total Cost Goal]" caption="_Total Cost Goal" measure="1" displayFolder="" measureGroup="CRM_EXPORT" count="0" hidden="1"/>
    <cacheHierarchy uniqueName="[Measures].[_Total Cost Status]" caption="_Total Cost Status" measure="1" iconSet="8" displayFolder="" measureGroup="CRM_EXPORT" count="0" hidden="1"/>
  </cacheHierarchies>
  <kpis count="1">
    <kpi uniqueName="Total Cost" caption="Total Cost" displayFolder="" measureGroup="CRM_EXPORT" parent="" value="[Measures].[Total Cost]" goal="[Measures].[_Total Cost Goal]" status="[Measures].[_Total Cost Status]" trend="" weight=""/>
  </kpis>
  <dimensions count="3">
    <dimension name="BILLING_EXPORT" uniqueName="[BILLING_EXPORT]" caption="BILLING_EXPORT"/>
    <dimension name="CRM_EXPORT" uniqueName="[CRM_EXPORT]" caption="CRM_EXPORT"/>
    <dimension measure="1" name="Measures" uniqueName="[Measures]" caption="Measures"/>
  </dimensions>
  <measureGroups count="2">
    <measureGroup name="BILLING_EXPORT" caption="BILLING_EXPORT"/>
    <measureGroup name="CRM_EXPORT" caption="CRM_EXPORT"/>
  </measureGroups>
  <maps count="3">
    <map measureGroup="0" dimension="0"/>
    <map measureGroup="1" dimension="0"/>
    <map measureGroup="1" dimension="1"/>
  </maps>
  <extLst>
    <ext xmlns:x14="http://schemas.microsoft.com/office/spreadsheetml/2009/9/main" uri="{725AE2AE-9491-48be-B2B4-4EB974FC3084}">
      <x14:pivotCacheDefinition pivotCacheId="1471009746"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
  <r>
    <s v="CRM001"/>
    <d v="2026-01-10T00:00:00"/>
    <s v="Client A"/>
    <s v="Login issue"/>
    <s v="Open"/>
    <s v="High"/>
    <s v="CRM"/>
    <n v="1"/>
    <x v="0"/>
  </r>
  <r>
    <s v="CRM002"/>
    <d v="2026-01-11T00:00:00"/>
    <s v="Client B"/>
    <s v="Billing error"/>
    <s v="Closed"/>
    <s v="Medium"/>
    <s v="CRM"/>
    <n v="1"/>
    <x v="0"/>
  </r>
  <r>
    <s v="CRM003"/>
    <d v="2026-01-12T00:00:00"/>
    <s v="Client C"/>
    <s v="Access issue"/>
    <s v="Open"/>
    <s v="Low"/>
    <s v="CRM"/>
    <n v="1"/>
    <x v="0"/>
  </r>
  <r>
    <s v="CRM004"/>
    <d v="2026-02-14T00:00:00"/>
    <s v="Client D"/>
    <s v="Test"/>
    <s v="Open"/>
    <s v="Low"/>
    <s v="CRM"/>
    <n v="2"/>
    <x v="1"/>
  </r>
  <r>
    <s v="CRM005"/>
    <d v="2026-02-15T00:00:00"/>
    <s v="Client E"/>
    <s v="Meter data issue"/>
    <s v="Open"/>
    <s v="High"/>
    <s v="CRM"/>
    <n v="2"/>
    <x v="1"/>
  </r>
  <r>
    <s v="CRM006"/>
    <d v="2026-02-16T00:00:00"/>
    <s v="Client F"/>
    <s v="Customer portal access"/>
    <s v="Resolved"/>
    <s v="Medium"/>
    <s v="CRM"/>
    <n v="2"/>
    <x v="1"/>
  </r>
  <r>
    <s v="CRM007"/>
    <d v="2026-02-17T00:00:00"/>
    <s v="Client G"/>
    <s v="Billing discrepancy"/>
    <s v="Closed"/>
    <s v="High"/>
    <s v="CRM"/>
    <n v="2"/>
    <x v="1"/>
  </r>
  <r>
    <s v="CRM008"/>
    <d v="2026-02-18T00:00:00"/>
    <s v="Client H"/>
    <s v="Service interruption"/>
    <s v="In Progress"/>
    <s v="Critical"/>
    <s v="CRM"/>
    <n v="2"/>
    <x v="1"/>
  </r>
  <r>
    <s v="CRM009"/>
    <d v="2026-02-20T00:00:00"/>
    <s v="Client I"/>
    <s v="CRM sync error"/>
    <s v="Pending"/>
    <s v="Medium"/>
    <s v="CRM"/>
    <n v="2"/>
    <x v="1"/>
  </r>
  <r>
    <s v="CRM010"/>
    <d v="2026-02-21T00:00:00"/>
    <s v="Client J"/>
    <s v="Contract update request"/>
    <s v="Closed"/>
    <s v="Low"/>
    <s v="CRM"/>
    <n v="2"/>
    <x v="1"/>
  </r>
  <r>
    <s v="CRM011"/>
    <d v="2026-02-22T00:00:00"/>
    <s v="Client K"/>
    <s v="Invoice delay"/>
    <s v="Open"/>
    <s v="Medium"/>
    <s v="CRM"/>
    <n v="2"/>
    <x v="1"/>
  </r>
  <r>
    <s v="CRM012"/>
    <d v="2026-02-23T00:00:00"/>
    <s v="Client L"/>
    <s v="Account access issue"/>
    <s v="Resolved"/>
    <s v="Low"/>
    <s v="CRM"/>
    <n v="2"/>
    <x v="1"/>
  </r>
  <r>
    <s v="CRM013"/>
    <d v="2026-02-24T00:00:00"/>
    <s v="Client M"/>
    <s v="Billing discrepancy"/>
    <s v="Open"/>
    <s v="High"/>
    <s v="CRM"/>
    <n v="2"/>
    <x v="1"/>
  </r>
  <r>
    <s v="CRM014"/>
    <d v="2026-02-25T00:00:00"/>
    <s v="Client N"/>
    <s v="Customer portal access"/>
    <s v="Resolved"/>
    <s v="Medium"/>
    <s v="CRM"/>
    <n v="2"/>
    <x v="1"/>
  </r>
  <r>
    <s v="CRM015"/>
    <d v="2026-02-26T00:00:00"/>
    <s v="Client O"/>
    <s v="Meter data issue"/>
    <s v="Closed"/>
    <s v="Medium"/>
    <s v="CRM"/>
    <n v="2"/>
    <x v="1"/>
  </r>
  <r>
    <s v="CRM016"/>
    <d v="2026-02-27T00:00:00"/>
    <s v="Client P"/>
    <s v="Service interruption"/>
    <s v="In Progress"/>
    <s v="Critical"/>
    <s v="CRM"/>
    <n v="2"/>
    <x v="1"/>
  </r>
  <r>
    <s v="CRM017"/>
    <d v="2026-02-28T00:00:00"/>
    <s v="Client Q"/>
    <s v="Contract update request"/>
    <s v="Closed"/>
    <s v="Low"/>
    <s v="CRM"/>
    <n v="2"/>
    <x v="1"/>
  </r>
  <r>
    <s v="CRM018"/>
    <d v="2026-03-01T00:00:00"/>
    <s v="Client R"/>
    <s v="Billing discrepancy"/>
    <s v="Pending"/>
    <s v="High"/>
    <s v="CRM"/>
    <n v="3"/>
    <x v="2"/>
  </r>
  <r>
    <s v="CRM019"/>
    <d v="2026-03-02T00:00:00"/>
    <s v="Client S"/>
    <s v="CRM sync error"/>
    <s v="Open"/>
    <s v="Medium"/>
    <s v="CRM"/>
    <n v="3"/>
    <x v="2"/>
  </r>
  <r>
    <s v="CRM020"/>
    <d v="2026-03-03T00:00:00"/>
    <s v="Client T"/>
    <s v="Account access issue"/>
    <s v="Resolved"/>
    <s v="Low"/>
    <s v="CRM"/>
    <n v="3"/>
    <x v="2"/>
  </r>
  <r>
    <s v="CRM021"/>
    <d v="2026-03-04T00:00:00"/>
    <s v="Client U"/>
    <s v="Invoice delay"/>
    <s v="Open"/>
    <s v="Medium"/>
    <s v="CRM"/>
    <n v="3"/>
    <x v="2"/>
  </r>
  <r>
    <s v="CRM022"/>
    <d v="2026-03-05T00:00:00"/>
    <s v="Client V"/>
    <s v="Meter data issue"/>
    <s v="Closed"/>
    <s v="Medium"/>
    <s v="CRM"/>
    <n v="3"/>
    <x v="2"/>
  </r>
  <r>
    <s v="CRM023"/>
    <d v="2026-03-06T00:00:00"/>
    <s v="Client W"/>
    <s v="Billing discrepancy"/>
    <s v="Resolved"/>
    <s v="High"/>
    <s v="CRM"/>
    <n v="3"/>
    <x v="2"/>
  </r>
  <r>
    <s v="CRM024"/>
    <d v="2026-03-07T00:00:00"/>
    <s v="Client X"/>
    <s v="Service interruption"/>
    <s v="Open"/>
    <s v="Critical"/>
    <s v="CRM"/>
    <n v="3"/>
    <x v="2"/>
  </r>
  <r>
    <s v="CRM025"/>
    <d v="2026-03-08T00:00:00"/>
    <s v="Client Y"/>
    <s v="Customer portal access"/>
    <s v="Closed"/>
    <s v="Low"/>
    <s v="CRM"/>
    <n v="3"/>
    <x v="2"/>
  </r>
  <r>
    <s v="CRM026"/>
    <d v="2026-03-09T00:00:00"/>
    <s v="Client Z"/>
    <s v="CRM sync error"/>
    <s v="Pending"/>
    <s v="Medium"/>
    <s v="CRM"/>
    <n v="3"/>
    <x v="2"/>
  </r>
  <r>
    <s v="CRM027"/>
    <d v="2026-03-10T00:00:00"/>
    <s v="Client AA"/>
    <s v="Billing discrepancy"/>
    <s v="Open"/>
    <s v="High"/>
    <s v="CRM"/>
    <n v="3"/>
    <x v="2"/>
  </r>
  <r>
    <s v="CRM028"/>
    <d v="2026-03-11T00:00:00"/>
    <s v="Client BB"/>
    <s v="Invoice delay"/>
    <s v="Closed"/>
    <s v="Low"/>
    <s v="CRM"/>
    <n v="3"/>
    <x v="2"/>
  </r>
  <r>
    <s v="CRM029"/>
    <d v="2026-03-12T00:00:00"/>
    <s v="Client CC"/>
    <s v="Account access issue"/>
    <s v="Resolved"/>
    <s v="Medium"/>
    <s v="CRM"/>
    <n v="3"/>
    <x v="2"/>
  </r>
  <r>
    <s v="CRM030"/>
    <d v="2026-03-13T00:00:00"/>
    <s v="Client DD"/>
    <s v="Meter data issue"/>
    <s v="Open"/>
    <s v="Medium"/>
    <s v="CRM"/>
    <n v="3"/>
    <x v="2"/>
  </r>
  <r>
    <s v="CRM031"/>
    <d v="2026-03-14T00:00:00"/>
    <s v="Client EE"/>
    <s v="Service interruption"/>
    <s v="Resolved"/>
    <s v="Critical"/>
    <s v="CRM"/>
    <n v="3"/>
    <x v="2"/>
  </r>
  <r>
    <s v="CRM032"/>
    <d v="2026-03-15T00:00:00"/>
    <s v="Client FF"/>
    <s v="Contract update request"/>
    <s v="Closed"/>
    <s v="Low"/>
    <s v="CRM"/>
    <n v="3"/>
    <x v="2"/>
  </r>
  <r>
    <s v="CRM033"/>
    <d v="2026-03-16T00:00:00"/>
    <s v="Client GG"/>
    <s v="Billing discrepancy"/>
    <s v="Open"/>
    <s v="High"/>
    <s v="CRM"/>
    <n v="3"/>
    <x v="2"/>
  </r>
  <r>
    <s v="CRM034"/>
    <d v="2026-03-17T00:00:00"/>
    <s v="Client HH"/>
    <s v="Customer portal access"/>
    <s v="Pending"/>
    <s v="Medium"/>
    <s v="CRM"/>
    <n v="3"/>
    <x v="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
  <r>
    <s v="INV001"/>
    <x v="0"/>
    <n v="5"/>
    <n v="250"/>
    <s v="Paid"/>
    <s v="Facturador"/>
  </r>
  <r>
    <s v="INV002"/>
    <x v="1"/>
    <n v="3"/>
    <n v="150"/>
    <s v="Pending"/>
    <s v="Facturador"/>
  </r>
  <r>
    <s v="INV003"/>
    <x v="2"/>
    <n v="8"/>
    <n v="400"/>
    <s v="Paid"/>
    <s v="Facturador"/>
  </r>
  <r>
    <s v="INV004"/>
    <x v="3"/>
    <n v="2"/>
    <n v="100"/>
    <s v="Paid"/>
    <s v="Facturador"/>
  </r>
  <r>
    <s v="INV005"/>
    <x v="4"/>
    <n v="2"/>
    <n v="75"/>
    <s v="Pending"/>
    <s v="Facturador"/>
  </r>
  <r>
    <s v="INV006"/>
    <x v="5"/>
    <n v="2"/>
    <n v="100"/>
    <s v="Pending"/>
    <s v="Facturador"/>
  </r>
  <r>
    <s v="INV007"/>
    <x v="6"/>
    <n v="1"/>
    <n v="50"/>
    <s v="Pending"/>
    <s v="Facturador"/>
  </r>
  <r>
    <s v="INV008"/>
    <x v="7"/>
    <n v="2"/>
    <n v="75"/>
    <s v="Pending"/>
    <s v="Facturador"/>
  </r>
  <r>
    <s v="INV009"/>
    <x v="8"/>
    <n v="6"/>
    <n v="300"/>
    <s v="Paid"/>
    <s v="Facturador"/>
  </r>
  <r>
    <s v="INV010"/>
    <x v="9"/>
    <n v="7"/>
    <n v="350"/>
    <s v="Paid"/>
    <s v="Facturador"/>
  </r>
  <r>
    <s v="INV011"/>
    <x v="10"/>
    <n v="10"/>
    <n v="500"/>
    <s v="Pending"/>
    <s v="Facturador"/>
  </r>
  <r>
    <s v="INV012"/>
    <x v="11"/>
    <n v="8"/>
    <n v="400"/>
    <s v="Pending"/>
    <s v="Facturador"/>
  </r>
  <r>
    <s v="INV013"/>
    <x v="12"/>
    <n v="9"/>
    <n v="450"/>
    <s v="Pending"/>
    <s v="Facturador"/>
  </r>
  <r>
    <s v="INV014"/>
    <x v="13"/>
    <n v="15"/>
    <n v="750"/>
    <s v="Pending"/>
    <s v="Facturador"/>
  </r>
  <r>
    <s v="INV015"/>
    <x v="14"/>
    <n v="2"/>
    <n v="100"/>
    <s v="Paid"/>
    <s v="Facturador"/>
  </r>
  <r>
    <s v="INV016"/>
    <x v="15"/>
    <n v="8"/>
    <n v="400"/>
    <s v="Paid"/>
    <s v="Facturador"/>
  </r>
  <r>
    <s v="INV017"/>
    <x v="16"/>
    <n v="1"/>
    <n v="50"/>
    <s v="Pending"/>
    <s v="Facturador"/>
  </r>
  <r>
    <s v="INV018"/>
    <x v="17"/>
    <n v="3"/>
    <n v="150"/>
    <s v="Pending"/>
    <s v="Facturador"/>
  </r>
  <r>
    <s v="INV019"/>
    <x v="18"/>
    <n v="3"/>
    <n v="150"/>
    <s v="Paid"/>
    <s v="Facturador"/>
  </r>
  <r>
    <s v="INV020"/>
    <x v="19"/>
    <n v="2"/>
    <n v="100"/>
    <s v="Paid"/>
    <s v="Facturador"/>
  </r>
  <r>
    <s v="INV021"/>
    <x v="20"/>
    <n v="4"/>
    <n v="200"/>
    <s v="Pending"/>
    <s v="Facturador"/>
  </r>
  <r>
    <s v="INV022"/>
    <x v="21"/>
    <n v="7"/>
    <n v="350"/>
    <s v="Pending"/>
    <s v="Facturador"/>
  </r>
  <r>
    <s v="INV023"/>
    <x v="22"/>
    <n v="8"/>
    <n v="400"/>
    <s v="Paid"/>
    <s v="Facturador"/>
  </r>
  <r>
    <s v="INV024"/>
    <x v="23"/>
    <n v="15"/>
    <n v="750"/>
    <s v="Paid"/>
    <s v="Facturador"/>
  </r>
  <r>
    <s v="INV025"/>
    <x v="24"/>
    <n v="12"/>
    <n v="600"/>
    <s v="Paid"/>
    <s v="Facturador"/>
  </r>
  <r>
    <s v="INV026"/>
    <x v="25"/>
    <n v="0"/>
    <n v="25"/>
    <s v="Pending"/>
    <s v="Facturador"/>
  </r>
  <r>
    <s v="INV027"/>
    <x v="26"/>
    <n v="2"/>
    <n v="100"/>
    <s v="Pending"/>
    <s v="Facturador"/>
  </r>
  <r>
    <s v="INV028"/>
    <x v="27"/>
    <n v="1"/>
    <n v="50"/>
    <s v="Pending"/>
    <s v="Facturador"/>
  </r>
  <r>
    <s v="INV029"/>
    <x v="28"/>
    <n v="6"/>
    <n v="300"/>
    <s v="Pending"/>
    <s v="Facturador"/>
  </r>
  <r>
    <s v="INV030"/>
    <x v="29"/>
    <n v="8"/>
    <n v="400"/>
    <s v="Paid"/>
    <s v="Facturador"/>
  </r>
  <r>
    <s v="INV031"/>
    <x v="30"/>
    <n v="7"/>
    <n v="350"/>
    <s v="Paid"/>
    <s v="Facturador"/>
  </r>
  <r>
    <s v="INV032"/>
    <x v="31"/>
    <n v="9"/>
    <n v="450"/>
    <s v="Paid"/>
    <s v="Facturador"/>
  </r>
  <r>
    <s v="INV033"/>
    <x v="32"/>
    <n v="6"/>
    <n v="300"/>
    <s v="Paid"/>
    <s v="Facturador"/>
  </r>
  <r>
    <s v="INV034"/>
    <x v="33"/>
    <n v="2"/>
    <n v="100"/>
    <s v="Paid"/>
    <s v="Facturador"/>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53B3F1D-9EB4-4E34-8EE2-E5CAC031A804}" name="PivotChartTable1" cacheId="122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
  <location ref="A1:B36" firstHeaderRow="1" firstDataRow="1" firstDataCol="1"/>
  <pivotFields count="2">
    <pivotField axis="axisRow" allDrilled="1" subtotalTop="0" showAll="0" dataSourceSort="1" defaultSubtotal="0" defaultAttributeDrillState="1">
      <items count="3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dataField="1" subtotalTop="0" showAll="0" defaultSubtotal="0"/>
  </pivotFields>
  <rowFields count="1">
    <field x="0"/>
  </rowFields>
  <rowItems count="3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t="grand">
      <x/>
    </i>
  </rowItems>
  <colItems count="1">
    <i/>
  </colItems>
  <dataFields count="1">
    <dataField name="Sum of Cost" fld="1" baseField="0" baseItem="0"/>
  </dataFields>
  <chartFormats count="1">
    <chartFormat chart="0" format="0" series="1">
      <pivotArea type="data" outline="0" fieldPosition="0">
        <references count="1">
          <reference field="4294967294" count="1" selected="0">
            <x v="0"/>
          </reference>
        </references>
      </pivotArea>
    </chartFormat>
  </chartFormats>
  <pivotHierarchies count="3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35" columnCount="1" cacheId="427183719">
        <x15:pivotRow count="1">
          <x15:c>
            <x15:v>250</x15:v>
          </x15:c>
        </x15:pivotRow>
        <x15:pivotRow count="1">
          <x15:c>
            <x15:v>100</x15:v>
          </x15:c>
        </x15:pivotRow>
        <x15:pivotRow count="1">
          <x15:c>
            <x15:v>150</x15:v>
          </x15:c>
        </x15:pivotRow>
        <x15:pivotRow count="1">
          <x15:c>
            <x15:v>50</x15:v>
          </x15:c>
        </x15:pivotRow>
        <x15:pivotRow count="1">
          <x15:c>
            <x15:v>400</x15:v>
          </x15:c>
        </x15:pivotRow>
        <x15:pivotRow count="1">
          <x15:c>
            <x15:v>300</x15:v>
          </x15:c>
        </x15:pivotRow>
        <x15:pivotRow count="1">
          <x15:c>
            <x15:v>100</x15:v>
          </x15:c>
        </x15:pivotRow>
        <x15:pivotRow count="1">
          <x15:c>
            <x15:v>400</x15:v>
          </x15:c>
        </x15:pivotRow>
        <x15:pivotRow count="1">
          <x15:c>
            <x15:v>75</x15:v>
          </x15:c>
        </x15:pivotRow>
        <x15:pivotRow count="1">
          <x15:c>
            <x15:v>350</x15:v>
          </x15:c>
        </x15:pivotRow>
        <x15:pivotRow count="1">
          <x15:c>
            <x15:v>100</x15:v>
          </x15:c>
        </x15:pivotRow>
        <x15:pivotRow count="1">
          <x15:c>
            <x15:v>450</x15:v>
          </x15:c>
        </x15:pivotRow>
        <x15:pivotRow count="1">
          <x15:c>
            <x15:v>50</x15:v>
          </x15:c>
        </x15:pivotRow>
        <x15:pivotRow count="1">
          <x15:c>
            <x15:v>300</x15:v>
          </x15:c>
        </x15:pivotRow>
        <x15:pivotRow count="1">
          <x15:c>
            <x15:v>75</x15:v>
          </x15:c>
        </x15:pivotRow>
        <x15:pivotRow count="1">
          <x15:c>
            <x15:v>100</x15:v>
          </x15:c>
        </x15:pivotRow>
        <x15:pivotRow count="1">
          <x15:c>
            <x15:v>300</x15:v>
          </x15:c>
        </x15:pivotRow>
        <x15:pivotRow count="1">
          <x15:c>
            <x15:v>350</x15:v>
          </x15:c>
        </x15:pivotRow>
        <x15:pivotRow count="1">
          <x15:c>
            <x15:v>500</x15:v>
          </x15:c>
        </x15:pivotRow>
        <x15:pivotRow count="1">
          <x15:c>
            <x15:v>400</x15:v>
          </x15:c>
        </x15:pivotRow>
        <x15:pivotRow count="1">
          <x15:c>
            <x15:v>450</x15:v>
          </x15:c>
        </x15:pivotRow>
        <x15:pivotRow count="1">
          <x15:c>
            <x15:v>750</x15:v>
          </x15:c>
        </x15:pivotRow>
        <x15:pivotRow count="1">
          <x15:c>
            <x15:v>100</x15:v>
          </x15:c>
        </x15:pivotRow>
        <x15:pivotRow count="1">
          <x15:c>
            <x15:v>400</x15:v>
          </x15:c>
        </x15:pivotRow>
        <x15:pivotRow count="1">
          <x15:c>
            <x15:v>50</x15:v>
          </x15:c>
        </x15:pivotRow>
        <x15:pivotRow count="1">
          <x15:c>
            <x15:v>150</x15:v>
          </x15:c>
        </x15:pivotRow>
        <x15:pivotRow count="1">
          <x15:c>
            <x15:v>150</x15:v>
          </x15:c>
        </x15:pivotRow>
        <x15:pivotRow count="1">
          <x15:c>
            <x15:v>100</x15:v>
          </x15:c>
        </x15:pivotRow>
        <x15:pivotRow count="1">
          <x15:c>
            <x15:v>200</x15:v>
          </x15:c>
        </x15:pivotRow>
        <x15:pivotRow count="1">
          <x15:c>
            <x15:v>350</x15:v>
          </x15:c>
        </x15:pivotRow>
        <x15:pivotRow count="1">
          <x15:c>
            <x15:v>400</x15:v>
          </x15:c>
        </x15:pivotRow>
        <x15:pivotRow count="1">
          <x15:c>
            <x15:v>750</x15:v>
          </x15:c>
        </x15:pivotRow>
        <x15:pivotRow count="1">
          <x15:c>
            <x15:v>600</x15:v>
          </x15:c>
        </x15:pivotRow>
        <x15:pivotRow count="1">
          <x15:c>
            <x15:v>25</x15:v>
          </x15:c>
        </x15:pivotRow>
        <x15:pivotRow count="1">
          <x15:c>
            <x15:v>9275</x15:v>
          </x15:c>
        </x15:pivotRow>
      </x15:pivotTableData>
    </ext>
    <ext xmlns:x15="http://schemas.microsoft.com/office/spreadsheetml/2010/11/main" uri="{E67621CE-5B39-4880-91FE-76760E9C1902}">
      <x15:pivotTableUISettings>
        <x15:activeTabTopLevelEntity name="[BILLING_EXPOR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959AF10-BC39-4D4A-93E4-7E661ED81466}" name="PivotChartTable3" cacheId="124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
  <location ref="A1:B4" firstHeaderRow="1" firstDataRow="1" firstDataCol="1"/>
  <pivotFields count="2">
    <pivotField dataField="1" subtotalTop="0" showAll="0" defaultSubtotal="0"/>
    <pivotField axis="axisRow" allDrilled="1" subtotalTop="0" showAll="0" dataSourceSort="1" defaultSubtotal="0" defaultAttributeDrillState="1">
      <items count="2">
        <item x="0"/>
        <item x="1"/>
      </items>
    </pivotField>
  </pivotFields>
  <rowFields count="1">
    <field x="1"/>
  </rowFields>
  <rowItems count="3">
    <i>
      <x/>
    </i>
    <i>
      <x v="1"/>
    </i>
    <i t="grand">
      <x/>
    </i>
  </rowItems>
  <colItems count="1">
    <i/>
  </colItems>
  <dataFields count="1">
    <dataField name="Count of Status" fld="0" subtotal="count" baseField="0" baseItem="0"/>
  </dataFields>
  <chartFormats count="3">
    <chartFormat chart="0" format="2" series="1">
      <pivotArea type="data" outline="0" fieldPosition="0">
        <references count="1">
          <reference field="4294967294" count="1" selected="0">
            <x v="0"/>
          </reference>
        </references>
      </pivotArea>
    </chartFormat>
    <chartFormat chart="0" format="3">
      <pivotArea type="data" outline="0" fieldPosition="0">
        <references count="2">
          <reference field="4294967294" count="1" selected="0">
            <x v="0"/>
          </reference>
          <reference field="1" count="1" selected="0">
            <x v="0"/>
          </reference>
        </references>
      </pivotArea>
    </chartFormat>
    <chartFormat chart="0" format="4">
      <pivotArea type="data" outline="0" fieldPosition="0">
        <references count="2">
          <reference field="4294967294" count="1" selected="0">
            <x v="0"/>
          </reference>
          <reference field="1" count="1" selected="0">
            <x v="1"/>
          </reference>
        </references>
      </pivotArea>
    </chartFormat>
  </chartFormats>
  <pivotHierarchies count="3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3" columnCount="1" cacheId="1471009746">
        <x15:pivotRow count="1">
          <x15:c>
            <x15:v>17</x15:v>
          </x15:c>
        </x15:pivotRow>
        <x15:pivotRow count="1">
          <x15:c>
            <x15:v>17</x15:v>
          </x15:c>
        </x15:pivotRow>
        <x15:pivotRow count="1">
          <x15:c>
            <x15:v>34</x15:v>
          </x15:c>
        </x15:pivotRow>
      </x15:pivotTableData>
    </ext>
    <ext xmlns:x15="http://schemas.microsoft.com/office/spreadsheetml/2010/11/main" uri="{E67621CE-5B39-4880-91FE-76760E9C1902}">
      <x15:pivotTableUISettings>
        <x15:activeTabTopLevelEntity name="[BILLING_EXPORT]"/>
        <x15:activeTabTopLevelEntity name="[CRM_EXPOR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93090FD-2C73-47B1-85D0-1BCB6F25BB1E}" name="PivotTable2" cacheId="1231" applyNumberFormats="0" applyBorderFormats="0" applyFontFormats="0" applyPatternFormats="0" applyAlignmentFormats="0" applyWidthHeightFormats="1" dataCaption="Values" tag="c9c6c23f-f286-44d1-ab76-41c44166f620" updatedVersion="8" minRefreshableVersion="3" useAutoFormatting="1" subtotalHiddenItems="1" itemPrintTitles="1" createdVersion="8" indent="0" outline="1" outlineData="1" multipleFieldFilters="0">
  <location ref="D1:E36" firstHeaderRow="1" firstDataRow="1" firstDataCol="1"/>
  <pivotFields count="4">
    <pivotField axis="axisRow" allDrilled="1" subtotalTop="0" showAll="0" dataSourceSort="1" defaultSubtotal="0" defaultAttributeDrillState="1">
      <items count="3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3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t="grand">
      <x/>
    </i>
  </rowItems>
  <colItems count="1">
    <i/>
  </colItems>
  <dataFields count="1">
    <dataField name="Sum of Cost" fld="1" baseField="0" baseItem="0"/>
  </dataFields>
  <pivotHierarchies count="35">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ILLING_EXPORT]"/>
        <x15:activeTabTopLevelEntity name="[CRM_EXPOR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62D6AF6-CF97-4908-81B8-08BF726C4B6D}" name="PivotTable1" cacheId="1234" applyNumberFormats="0" applyBorderFormats="0" applyFontFormats="0" applyPatternFormats="0" applyAlignmentFormats="0" applyWidthHeightFormats="1" dataCaption="Values" tag="b0761c8d-f4e3-4868-9240-2fc845700b3c" updatedVersion="8" minRefreshableVersion="3" useAutoFormatting="1" subtotalHiddenItems="1" itemPrintTitles="1" createdVersion="8" indent="0" outline="1" outlineData="1" multipleFieldFilters="0">
  <location ref="A1:B36" firstHeaderRow="1" firstDataRow="1" firstDataCol="1"/>
  <pivotFields count="4">
    <pivotField axis="axisRow" allDrilled="1" subtotalTop="0" showAll="0" dataSourceSort="1" defaultSubtotal="0" defaultAttributeDrillState="1">
      <items count="3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3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t="grand">
      <x/>
    </i>
  </rowItems>
  <colItems count="1">
    <i/>
  </colItems>
  <dataFields count="1">
    <dataField name="Count of Ticket_ID" fld="1" subtotal="count" baseField="0" baseItem="0"/>
  </dataFields>
  <pivotHierarchies count="35">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RM_EXPORT]"/>
        <x15:activeTabTopLevelEntity name="[BILLING_EXPOR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0E7C2AF-AE53-4520-88E7-7FCDE1D8C717}" name="PivotMonthlyTrend" cacheId="124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F1:G5" firstHeaderRow="1" firstDataRow="1" firstDataCol="1"/>
  <pivotFields count="9">
    <pivotField dataField="1" showAll="0"/>
    <pivotField numFmtId="14" showAll="0"/>
    <pivotField showAll="0"/>
    <pivotField showAll="0"/>
    <pivotField showAll="0"/>
    <pivotField showAll="0"/>
    <pivotField showAll="0"/>
    <pivotField showAll="0"/>
    <pivotField axis="axisRow" showAll="0">
      <items count="4">
        <item x="0"/>
        <item x="1"/>
        <item x="2"/>
        <item t="default"/>
      </items>
    </pivotField>
  </pivotFields>
  <rowFields count="1">
    <field x="8"/>
  </rowFields>
  <rowItems count="4">
    <i>
      <x/>
    </i>
    <i>
      <x v="1"/>
    </i>
    <i>
      <x v="2"/>
    </i>
    <i t="grand">
      <x/>
    </i>
  </rowItems>
  <colItems count="1">
    <i/>
  </colItems>
  <dataFields count="1">
    <dataField name="Count of Ticket_ID" fld="0" subtotal="count" baseField="0" baseItem="0"/>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8" count="1" selected="0">
            <x v="2"/>
          </reference>
        </references>
      </pivotArea>
    </chartFormat>
    <chartFormat chart="0" format="2">
      <pivotArea type="data" outline="0" fieldPosition="0">
        <references count="2">
          <reference field="4294967294" count="1" selected="0">
            <x v="0"/>
          </reference>
          <reference field="8" count="1" selected="0">
            <x v="1"/>
          </reference>
        </references>
      </pivotArea>
    </chartFormat>
    <chartFormat chart="0" format="3">
      <pivotArea type="data" outline="0" fieldPosition="0">
        <references count="2">
          <reference field="4294967294" count="1" selected="0">
            <x v="0"/>
          </reference>
          <reference field="8"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CDBB5DF-B6FB-46C0-AE6E-7912C12881EE}" name="PivotCostHours" cacheId="124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C36" firstHeaderRow="0" firstDataRow="1" firstDataCol="1"/>
  <pivotFields count="6">
    <pivotField showAll="0"/>
    <pivotField axis="axisRow" showAll="0">
      <items count="35">
        <item x="0"/>
        <item x="26"/>
        <item x="1"/>
        <item x="27"/>
        <item x="2"/>
        <item x="28"/>
        <item x="3"/>
        <item x="29"/>
        <item x="4"/>
        <item x="30"/>
        <item x="5"/>
        <item x="31"/>
        <item x="6"/>
        <item x="32"/>
        <item x="7"/>
        <item x="33"/>
        <item x="8"/>
        <item x="9"/>
        <item x="10"/>
        <item x="11"/>
        <item x="12"/>
        <item x="13"/>
        <item x="14"/>
        <item x="15"/>
        <item x="16"/>
        <item x="17"/>
        <item x="18"/>
        <item x="19"/>
        <item x="20"/>
        <item x="21"/>
        <item x="22"/>
        <item x="23"/>
        <item x="24"/>
        <item x="25"/>
        <item t="default"/>
      </items>
    </pivotField>
    <pivotField dataField="1" showAll="0"/>
    <pivotField dataField="1" showAll="0"/>
    <pivotField showAll="0"/>
    <pivotField showAll="0"/>
  </pivotFields>
  <rowFields count="1">
    <field x="1"/>
  </rowFields>
  <rowItems count="3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t="grand">
      <x/>
    </i>
  </rowItems>
  <colFields count="1">
    <field x="-2"/>
  </colFields>
  <colItems count="2">
    <i>
      <x/>
    </i>
    <i i="1">
      <x v="1"/>
    </i>
  </colItems>
  <dataFields count="2">
    <dataField name="Sum of Hours" fld="2" baseField="0" baseItem="0"/>
    <dataField name="Sum of Cost" fld="3"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3C65E3A-27A1-4B49-9DEB-01F0D6295814}" name="PivotTable3" cacheId="1237" applyNumberFormats="0" applyBorderFormats="0" applyFontFormats="0" applyPatternFormats="0" applyAlignmentFormats="0" applyWidthHeightFormats="1" dataCaption="Values" tag="075b17af-4bca-4bfd-aa1c-3af9af4fd1fe" updatedVersion="8" minRefreshableVersion="3" useAutoFormatting="1" subtotalHiddenItems="1" itemPrintTitles="1" createdVersion="8" indent="0" outline="1" outlineData="1" multipleFieldFilters="0">
  <location ref="B3:H4" firstHeaderRow="0" firstDataRow="1" firstDataCol="0"/>
  <pivotFields count="7">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Items count="1">
    <i/>
  </rowItems>
  <colFields count="1">
    <field x="-2"/>
  </colFields>
  <colItems count="7">
    <i>
      <x/>
    </i>
    <i i="1">
      <x v="1"/>
    </i>
    <i i="2">
      <x v="2"/>
    </i>
    <i i="3">
      <x v="3"/>
    </i>
    <i i="4">
      <x v="4"/>
    </i>
    <i i="5">
      <x v="5"/>
    </i>
    <i i="6">
      <x v="6"/>
    </i>
  </colItems>
  <dataFields count="7">
    <dataField fld="0" subtotal="count" baseField="0" baseItem="0"/>
    <dataField name="Hourly Rate" fld="1" subtotal="count" baseField="0" baseItem="0"/>
    <dataField fld="2" subtotal="count" baseField="0" baseItem="0"/>
    <dataField name="Total Cost" fld="3" subtotal="count" baseField="0" baseItem="0"/>
    <dataField name="Total Cost Goal" fld="4" subtotal="count" baseField="0" baseItem="0"/>
    <dataField name="Total Cost Status" fld="5" subtotal="count" baseField="0" baseItem="0"/>
    <dataField fld="6" subtotal="count" baseField="0" baseItem="0"/>
  </dataFields>
  <formats count="7">
    <format dxfId="12">
      <pivotArea outline="0" collapsedLevelsAreSubtotals="1" fieldPosition="0"/>
    </format>
    <format dxfId="13">
      <pivotArea outline="0" collapsedLevelsAreSubtotals="1" fieldPosition="0"/>
    </format>
    <format dxfId="14">
      <pivotArea dataOnly="0" labelOnly="1" outline="0" fieldPosition="0">
        <references count="1">
          <reference field="4294967294" count="7">
            <x v="0"/>
            <x v="1"/>
            <x v="2"/>
            <x v="3"/>
            <x v="4"/>
            <x v="5"/>
            <x v="6"/>
          </reference>
        </references>
      </pivotArea>
    </format>
    <format dxfId="15">
      <pivotArea dataOnly="0" labelOnly="1" outline="0" fieldPosition="0">
        <references count="1">
          <reference field="4294967294" count="7">
            <x v="0"/>
            <x v="1"/>
            <x v="2"/>
            <x v="3"/>
            <x v="4"/>
            <x v="5"/>
            <x v="6"/>
          </reference>
        </references>
      </pivotArea>
    </format>
    <format dxfId="16">
      <pivotArea dataOnly="0" labelOnly="1" outline="0" fieldPosition="0">
        <references count="1">
          <reference field="4294967294" count="7">
            <x v="0"/>
            <x v="1"/>
            <x v="2"/>
            <x v="3"/>
            <x v="4"/>
            <x v="5"/>
            <x v="6"/>
          </reference>
        </references>
      </pivotArea>
    </format>
    <format dxfId="17">
      <pivotArea dataOnly="0" labelOnly="1" outline="0" fieldPosition="0">
        <references count="1">
          <reference field="4294967294" count="7">
            <x v="0"/>
            <x v="1"/>
            <x v="2"/>
            <x v="3"/>
            <x v="4"/>
            <x v="5"/>
            <x v="6"/>
          </reference>
        </references>
      </pivotArea>
    </format>
    <format dxfId="11">
      <pivotArea dataOnly="0" labelOnly="1" outline="0" fieldPosition="0">
        <references count="1">
          <reference field="4294967294" count="7">
            <x v="0"/>
            <x v="1"/>
            <x v="2"/>
            <x v="3"/>
            <x v="4"/>
            <x v="5"/>
            <x v="6"/>
          </reference>
        </references>
      </pivotArea>
    </format>
  </formats>
  <conditionalFormats count="1">
    <conditionalFormat scope="data" priority="1">
      <pivotAreas count="1">
        <pivotArea outline="0" fieldPosition="0">
          <references count="1">
            <reference field="4294967294" count="1" selected="0">
              <x v="5"/>
            </reference>
          </references>
        </pivotArea>
      </pivotAreas>
    </conditionalFormat>
  </conditionalFormats>
  <pivotHierarchies count="3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Hourly Rat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RM_EXPORT]"/>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72B9D0D2-4FFF-4573-888B-3F809E1C8B7F}" autoFormatId="16" applyNumberFormats="0" applyBorderFormats="0" applyFontFormats="0" applyPatternFormats="0" applyAlignmentFormats="0" applyWidthHeightFormats="0">
  <queryTableRefresh nextId="12">
    <queryTableFields count="9">
      <queryTableField id="1" name="Ticket_ID" tableColumnId="1"/>
      <queryTableField id="2" name="Date" tableColumnId="2"/>
      <queryTableField id="3" name="Client" tableColumnId="3"/>
      <queryTableField id="4" name="Issue_Type" tableColumnId="4"/>
      <queryTableField id="5" name="Status" tableColumnId="5"/>
      <queryTableField id="6" name="Priority" tableColumnId="6"/>
      <queryTableField id="7" name="System" tableColumnId="7"/>
      <queryTableField id="10" name="Date (Month Index)" tableColumnId="10"/>
      <queryTableField id="11" name="Date (Month)" tableColumnId="11"/>
    </queryTableFields>
    <queryTableDeletedFields count="2">
      <deletedField name="Date (Month Index)"/>
      <deletedField name="Date (Month)"/>
    </queryTableDeletedFields>
  </queryTableRefresh>
  <extLst>
    <ext xmlns:x15="http://schemas.microsoft.com/office/spreadsheetml/2010/11/main" uri="{883FBD77-0823-4a55-B5E3-86C4891E6966}">
      <x15:queryTable sourceDataName="Query - CRM_EXPORT"/>
    </ext>
  </extLst>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42FE5D8C-3597-4FA1-9622-CC84F8D45802}" autoFormatId="16" applyNumberFormats="0" applyBorderFormats="0" applyFontFormats="0" applyPatternFormats="0" applyAlignmentFormats="0" applyWidthHeightFormats="0">
  <queryTableRefresh nextId="7">
    <queryTableFields count="6">
      <queryTableField id="1" name="Invoice_ID" tableColumnId="1"/>
      <queryTableField id="2" name="Client" tableColumnId="2"/>
      <queryTableField id="3" name="Hours" tableColumnId="3"/>
      <queryTableField id="4" name="Cost" tableColumnId="4"/>
      <queryTableField id="5" name="Status" tableColumnId="5"/>
      <queryTableField id="6" name="System" tableColumnId="6"/>
    </queryTableFields>
  </queryTableRefresh>
  <extLst>
    <ext xmlns:x15="http://schemas.microsoft.com/office/spreadsheetml/2010/11/main" uri="{883FBD77-0823-4a55-B5E3-86C4891E6966}">
      <x15:queryTable sourceDataName="Query - BILLING_EXPORT"/>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A29C22AA-5A1A-446E-9D4D-766C19233782}" sourceName="[BILLING_EXPORT].[Status]">
  <pivotTables>
    <pivotTable tabId="4" name="PivotTable1"/>
    <pivotTable tabId="4" name="PivotTable2"/>
  </pivotTables>
  <data>
    <olap pivotCacheId="1273012759">
      <levels count="2">
        <level uniqueName="[BILLING_EXPORT].[Status].[(All)]" sourceCaption="(All)" count="0"/>
        <level uniqueName="[BILLING_EXPORT].[Status].[Status]" sourceCaption="Status" count="2">
          <ranges>
            <range startItem="0">
              <i n="[BILLING_EXPORT].[Status].&amp;[Paid]" c="Paid"/>
              <i n="[BILLING_EXPORT].[Status].&amp;[Pending]" c="Pending"/>
            </range>
          </ranges>
        </level>
      </levels>
      <selections count="1">
        <selection n="[BILLING_EXPORT].[Status].[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38C999EC-56D1-4950-BEBC-F9BBD0F4AB5A}" sourceName="[CRM_EXPORT].[Priority]">
  <pivotTables>
    <pivotTable tabId="4" name="PivotTable1"/>
    <pivotTable tabId="4" name="PivotTable2"/>
  </pivotTables>
  <data>
    <olap pivotCacheId="1273012759">
      <levels count="2">
        <level uniqueName="[CRM_EXPORT].[Priority].[(All)]" sourceCaption="(All)" count="0"/>
        <level uniqueName="[CRM_EXPORT].[Priority].[Priority]" sourceCaption="Priority" count="4">
          <ranges>
            <range startItem="0">
              <i n="[CRM_EXPORT].[Priority].&amp;[Critical]" c="Critical"/>
              <i n="[CRM_EXPORT].[Priority].&amp;[High]" c="High"/>
              <i n="[CRM_EXPORT].[Priority].&amp;[Low]" c="Low"/>
              <i n="[CRM_EXPORT].[Priority].&amp;[Medium]" c="Medium"/>
            </range>
          </ranges>
        </level>
      </levels>
      <selections count="1">
        <selection n="[CRM_EXPORT].[Priorit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us" xr10:uid="{928CB4E8-FF6C-4033-B673-AF3D386802F9}" cache="Slicer_Status" caption="Status" level="1" rowHeight="247650"/>
  <slicer name="Priority" xr10:uid="{D500B05D-5DF6-4EFF-B179-628D36A9C4DC}" cache="Slicer_Priority" caption="Priority" level="1"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E436C54-E8C8-4E6C-B474-EECF001DC9B9}" name="CRM_EXPORT" displayName="CRM_EXPORT" ref="A1:I35" tableType="queryTable" totalsRowShown="0">
  <autoFilter ref="A1:I35" xr:uid="{3E436C54-E8C8-4E6C-B474-EECF001DC9B9}"/>
  <tableColumns count="9">
    <tableColumn id="1" xr3:uid="{C725BF66-EF4D-4B23-9C25-7EC96738EC92}" uniqueName="1" name="Ticket_ID" queryTableFieldId="1" dataDxfId="10"/>
    <tableColumn id="2" xr3:uid="{B7CA4E2E-C6C4-419D-B889-BA00878F7B96}" uniqueName="2" name="Date" queryTableFieldId="2" dataDxfId="9"/>
    <tableColumn id="3" xr3:uid="{9396AF01-A80E-41DA-9D46-ED2F20D94045}" uniqueName="3" name="Client" queryTableFieldId="3" dataDxfId="8"/>
    <tableColumn id="4" xr3:uid="{3FC34862-1AE2-4959-8637-120E79C21801}" uniqueName="4" name="Issue_Type" queryTableFieldId="4" dataDxfId="7"/>
    <tableColumn id="5" xr3:uid="{F16E99A9-2613-4DEA-8ABC-BE0F60EBE0B8}" uniqueName="5" name="Status" queryTableFieldId="5" dataDxfId="6"/>
    <tableColumn id="6" xr3:uid="{4C3A39BB-BA34-4B7A-9A0D-8A826E1171AD}" uniqueName="6" name="Priority" queryTableFieldId="6" dataDxfId="5"/>
    <tableColumn id="7" xr3:uid="{85D866EE-E180-4DF3-95ED-47EC3BD2864F}" uniqueName="7" name="System" queryTableFieldId="7" dataDxfId="4"/>
    <tableColumn id="10" xr3:uid="{C58C4D70-C7D4-4A4E-B544-E36C46E44D64}" uniqueName="10" name="Date (Month Index)" queryTableFieldId="10"/>
    <tableColumn id="11" xr3:uid="{C5422CFC-7B18-4325-A813-6871F2951A6A}" uniqueName="11" name="Date (Month)"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1F6132E-FBE1-40D0-A688-3B2F6AAF2C87}" name="BILLING_EXPORT" displayName="BILLING_EXPORT" ref="A1:F35" tableType="queryTable" totalsRowShown="0">
  <autoFilter ref="A1:F35" xr:uid="{51F6132E-FBE1-40D0-A688-3B2F6AAF2C87}"/>
  <tableColumns count="6">
    <tableColumn id="1" xr3:uid="{331A4850-B09E-4029-8B69-875D5EDAA417}" uniqueName="1" name="Invoice_ID" queryTableFieldId="1" dataDxfId="3"/>
    <tableColumn id="2" xr3:uid="{BEC4A60F-700B-448E-A2C2-C776DC1B87F3}" uniqueName="2" name="Client" queryTableFieldId="2" dataDxfId="2"/>
    <tableColumn id="3" xr3:uid="{DE2A88D0-9E09-45DE-8E76-9BBC6AC38F52}" uniqueName="3" name="Hours" queryTableFieldId="3"/>
    <tableColumn id="4" xr3:uid="{1F0F3B96-E9AB-4180-B264-80D8C59D0B9B}" uniqueName="4" name="Cost" queryTableFieldId="4"/>
    <tableColumn id="5" xr3:uid="{347A99D6-CF10-46B9-ADD8-FD8CFD0BA4D6}" uniqueName="5" name="Status" queryTableFieldId="5" dataDxfId="1"/>
    <tableColumn id="6" xr3:uid="{1E2D3F73-A93A-4B4D-A2C6-5346C0039029}" uniqueName="6" name="System" queryTableFieldId="6"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2" Type="http://schemas.openxmlformats.org/officeDocument/2006/relationships/pivotTable" Target="../pivotTables/pivotTable6.xml"/><Relationship Id="rId1" Type="http://schemas.openxmlformats.org/officeDocument/2006/relationships/pivotTable" Target="../pivotTables/pivotTable5.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7.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9B107-35BB-43F3-B034-2AFA6757E30C}">
  <sheetPr codeName="Sheet1"/>
  <dimension ref="A1:N35"/>
  <sheetViews>
    <sheetView showGridLines="0" workbookViewId="0">
      <selection activeCell="A36" sqref="A36"/>
    </sheetView>
  </sheetViews>
  <sheetFormatPr defaultRowHeight="14.4" x14ac:dyDescent="0.3"/>
  <cols>
    <col min="1" max="1" width="10.88671875" bestFit="1" customWidth="1"/>
    <col min="2" max="2" width="10.33203125" bestFit="1" customWidth="1"/>
    <col min="3" max="3" width="8.6640625" bestFit="1" customWidth="1"/>
    <col min="4" max="4" width="20.5546875" bestFit="1" customWidth="1"/>
    <col min="5" max="5" width="9.88671875" bestFit="1" customWidth="1"/>
    <col min="6" max="6" width="11.5546875" bestFit="1" customWidth="1"/>
    <col min="7" max="7" width="11.6640625" bestFit="1" customWidth="1"/>
    <col min="8" max="8" width="18.88671875" bestFit="1" customWidth="1"/>
    <col min="9" max="9" width="13.88671875" bestFit="1" customWidth="1"/>
    <col min="10" max="10" width="18.88671875" bestFit="1" customWidth="1"/>
    <col min="11" max="11" width="13.88671875" bestFit="1" customWidth="1"/>
    <col min="12" max="13" width="12.44140625" bestFit="1" customWidth="1"/>
    <col min="14" max="14" width="13.5546875" bestFit="1" customWidth="1"/>
    <col min="16" max="16" width="12.44140625" bestFit="1" customWidth="1"/>
    <col min="17" max="17" width="15.88671875" bestFit="1" customWidth="1"/>
  </cols>
  <sheetData>
    <row r="1" spans="1:14" x14ac:dyDescent="0.3">
      <c r="A1" t="s">
        <v>11</v>
      </c>
      <c r="B1" t="s">
        <v>12</v>
      </c>
      <c r="C1" t="s">
        <v>13</v>
      </c>
      <c r="D1" t="s">
        <v>14</v>
      </c>
      <c r="E1" t="s">
        <v>10</v>
      </c>
      <c r="F1" s="1" t="s">
        <v>15</v>
      </c>
      <c r="G1" s="1" t="s">
        <v>16</v>
      </c>
      <c r="H1" t="s">
        <v>39</v>
      </c>
      <c r="I1" t="s">
        <v>40</v>
      </c>
    </row>
    <row r="2" spans="1:14" x14ac:dyDescent="0.3">
      <c r="A2" s="19" t="s">
        <v>17</v>
      </c>
      <c r="B2" s="5">
        <v>46032</v>
      </c>
      <c r="C2" s="19" t="s">
        <v>0</v>
      </c>
      <c r="D2" s="19" t="s">
        <v>18</v>
      </c>
      <c r="E2" s="19" t="s">
        <v>19</v>
      </c>
      <c r="F2" s="20" t="s">
        <v>20</v>
      </c>
      <c r="G2" s="20" t="s">
        <v>21</v>
      </c>
      <c r="H2">
        <v>1</v>
      </c>
      <c r="I2" t="s">
        <v>41</v>
      </c>
    </row>
    <row r="3" spans="1:14" x14ac:dyDescent="0.3">
      <c r="A3" s="19" t="s">
        <v>22</v>
      </c>
      <c r="B3" s="5">
        <v>46033</v>
      </c>
      <c r="C3" s="19" t="s">
        <v>1</v>
      </c>
      <c r="D3" s="19" t="s">
        <v>23</v>
      </c>
      <c r="E3" s="19" t="s">
        <v>24</v>
      </c>
      <c r="F3" s="20" t="s">
        <v>25</v>
      </c>
      <c r="G3" s="20" t="s">
        <v>21</v>
      </c>
      <c r="H3">
        <v>1</v>
      </c>
      <c r="I3" t="s">
        <v>41</v>
      </c>
    </row>
    <row r="4" spans="1:14" x14ac:dyDescent="0.3">
      <c r="A4" s="19" t="s">
        <v>26</v>
      </c>
      <c r="B4" s="5">
        <v>46034</v>
      </c>
      <c r="C4" s="19" t="s">
        <v>2</v>
      </c>
      <c r="D4" s="19" t="s">
        <v>27</v>
      </c>
      <c r="E4" s="19" t="s">
        <v>19</v>
      </c>
      <c r="F4" s="20" t="s">
        <v>28</v>
      </c>
      <c r="G4" s="20" t="s">
        <v>21</v>
      </c>
      <c r="H4">
        <v>1</v>
      </c>
      <c r="I4" t="s">
        <v>41</v>
      </c>
    </row>
    <row r="5" spans="1:14" x14ac:dyDescent="0.3">
      <c r="A5" s="19" t="s">
        <v>36</v>
      </c>
      <c r="B5" s="5">
        <v>46067</v>
      </c>
      <c r="C5" s="19" t="s">
        <v>37</v>
      </c>
      <c r="D5" s="19" t="s">
        <v>38</v>
      </c>
      <c r="E5" s="19" t="s">
        <v>19</v>
      </c>
      <c r="F5" s="20" t="s">
        <v>28</v>
      </c>
      <c r="G5" s="20" t="s">
        <v>21</v>
      </c>
      <c r="H5">
        <v>2</v>
      </c>
      <c r="I5" t="s">
        <v>42</v>
      </c>
      <c r="N5" s="4"/>
    </row>
    <row r="6" spans="1:14" x14ac:dyDescent="0.3">
      <c r="A6" s="19" t="s">
        <v>52</v>
      </c>
      <c r="B6" s="5">
        <v>46068</v>
      </c>
      <c r="C6" s="19" t="s">
        <v>53</v>
      </c>
      <c r="D6" s="19" t="s">
        <v>54</v>
      </c>
      <c r="E6" s="19" t="s">
        <v>19</v>
      </c>
      <c r="F6" s="20" t="s">
        <v>20</v>
      </c>
      <c r="G6" s="20" t="s">
        <v>21</v>
      </c>
      <c r="H6">
        <v>2</v>
      </c>
      <c r="I6" t="s">
        <v>42</v>
      </c>
    </row>
    <row r="7" spans="1:14" x14ac:dyDescent="0.3">
      <c r="A7" s="19" t="s">
        <v>55</v>
      </c>
      <c r="B7" s="5">
        <v>46069</v>
      </c>
      <c r="C7" s="19" t="s">
        <v>56</v>
      </c>
      <c r="D7" s="19" t="s">
        <v>57</v>
      </c>
      <c r="E7" s="19" t="s">
        <v>58</v>
      </c>
      <c r="F7" s="20" t="s">
        <v>25</v>
      </c>
      <c r="G7" s="20" t="s">
        <v>21</v>
      </c>
      <c r="H7">
        <v>2</v>
      </c>
      <c r="I7" t="s">
        <v>42</v>
      </c>
    </row>
    <row r="8" spans="1:14" x14ac:dyDescent="0.3">
      <c r="A8" s="19" t="s">
        <v>59</v>
      </c>
      <c r="B8" s="5">
        <v>46070</v>
      </c>
      <c r="C8" s="19" t="s">
        <v>60</v>
      </c>
      <c r="D8" s="19" t="s">
        <v>61</v>
      </c>
      <c r="E8" s="19" t="s">
        <v>24</v>
      </c>
      <c r="F8" s="20" t="s">
        <v>20</v>
      </c>
      <c r="G8" s="20" t="s">
        <v>21</v>
      </c>
      <c r="H8">
        <v>2</v>
      </c>
      <c r="I8" t="s">
        <v>42</v>
      </c>
    </row>
    <row r="9" spans="1:14" x14ac:dyDescent="0.3">
      <c r="A9" s="19" t="s">
        <v>62</v>
      </c>
      <c r="B9" s="5">
        <v>46071</v>
      </c>
      <c r="C9" s="19" t="s">
        <v>63</v>
      </c>
      <c r="D9" s="19" t="s">
        <v>64</v>
      </c>
      <c r="E9" s="19" t="s">
        <v>65</v>
      </c>
      <c r="F9" s="20" t="s">
        <v>66</v>
      </c>
      <c r="G9" s="20" t="s">
        <v>21</v>
      </c>
      <c r="H9">
        <v>2</v>
      </c>
      <c r="I9" t="s">
        <v>42</v>
      </c>
    </row>
    <row r="10" spans="1:14" x14ac:dyDescent="0.3">
      <c r="A10" s="19" t="s">
        <v>67</v>
      </c>
      <c r="B10" s="5">
        <v>46073</v>
      </c>
      <c r="C10" s="19" t="s">
        <v>68</v>
      </c>
      <c r="D10" s="19" t="s">
        <v>69</v>
      </c>
      <c r="E10" s="19" t="s">
        <v>9</v>
      </c>
      <c r="F10" s="20" t="s">
        <v>25</v>
      </c>
      <c r="G10" s="20" t="s">
        <v>21</v>
      </c>
      <c r="H10">
        <v>2</v>
      </c>
      <c r="I10" t="s">
        <v>42</v>
      </c>
    </row>
    <row r="11" spans="1:14" x14ac:dyDescent="0.3">
      <c r="A11" s="19" t="s">
        <v>70</v>
      </c>
      <c r="B11" s="5">
        <v>46074</v>
      </c>
      <c r="C11" s="19" t="s">
        <v>71</v>
      </c>
      <c r="D11" s="19" t="s">
        <v>72</v>
      </c>
      <c r="E11" s="19" t="s">
        <v>24</v>
      </c>
      <c r="F11" s="20" t="s">
        <v>28</v>
      </c>
      <c r="G11" s="20" t="s">
        <v>21</v>
      </c>
      <c r="H11">
        <v>2</v>
      </c>
      <c r="I11" t="s">
        <v>42</v>
      </c>
    </row>
    <row r="12" spans="1:14" x14ac:dyDescent="0.3">
      <c r="A12" s="19" t="s">
        <v>73</v>
      </c>
      <c r="B12" s="5">
        <v>46075</v>
      </c>
      <c r="C12" s="19" t="s">
        <v>74</v>
      </c>
      <c r="D12" s="19" t="s">
        <v>75</v>
      </c>
      <c r="E12" s="19" t="s">
        <v>19</v>
      </c>
      <c r="F12" s="20" t="s">
        <v>25</v>
      </c>
      <c r="G12" s="20" t="s">
        <v>21</v>
      </c>
      <c r="H12">
        <v>2</v>
      </c>
      <c r="I12" t="s">
        <v>42</v>
      </c>
    </row>
    <row r="13" spans="1:14" x14ac:dyDescent="0.3">
      <c r="A13" s="19" t="s">
        <v>76</v>
      </c>
      <c r="B13" s="5">
        <v>46076</v>
      </c>
      <c r="C13" s="19" t="s">
        <v>77</v>
      </c>
      <c r="D13" s="19" t="s">
        <v>78</v>
      </c>
      <c r="E13" s="19" t="s">
        <v>58</v>
      </c>
      <c r="F13" s="20" t="s">
        <v>28</v>
      </c>
      <c r="G13" s="20" t="s">
        <v>21</v>
      </c>
      <c r="H13">
        <v>2</v>
      </c>
      <c r="I13" t="s">
        <v>42</v>
      </c>
    </row>
    <row r="14" spans="1:14" x14ac:dyDescent="0.3">
      <c r="A14" s="19" t="s">
        <v>79</v>
      </c>
      <c r="B14" s="5">
        <v>46077</v>
      </c>
      <c r="C14" s="19" t="s">
        <v>80</v>
      </c>
      <c r="D14" s="19" t="s">
        <v>61</v>
      </c>
      <c r="E14" s="19" t="s">
        <v>19</v>
      </c>
      <c r="F14" s="20" t="s">
        <v>20</v>
      </c>
      <c r="G14" s="20" t="s">
        <v>21</v>
      </c>
      <c r="H14">
        <v>2</v>
      </c>
      <c r="I14" t="s">
        <v>42</v>
      </c>
    </row>
    <row r="15" spans="1:14" x14ac:dyDescent="0.3">
      <c r="A15" s="19" t="s">
        <v>81</v>
      </c>
      <c r="B15" s="5">
        <v>46078</v>
      </c>
      <c r="C15" s="19" t="s">
        <v>82</v>
      </c>
      <c r="D15" s="19" t="s">
        <v>57</v>
      </c>
      <c r="E15" s="19" t="s">
        <v>58</v>
      </c>
      <c r="F15" s="20" t="s">
        <v>25</v>
      </c>
      <c r="G15" s="20" t="s">
        <v>21</v>
      </c>
      <c r="H15">
        <v>2</v>
      </c>
      <c r="I15" t="s">
        <v>42</v>
      </c>
    </row>
    <row r="16" spans="1:14" x14ac:dyDescent="0.3">
      <c r="A16" s="19" t="s">
        <v>83</v>
      </c>
      <c r="B16" s="5">
        <v>46079</v>
      </c>
      <c r="C16" s="19" t="s">
        <v>84</v>
      </c>
      <c r="D16" s="19" t="s">
        <v>54</v>
      </c>
      <c r="E16" s="19" t="s">
        <v>24</v>
      </c>
      <c r="F16" s="20" t="s">
        <v>25</v>
      </c>
      <c r="G16" s="20" t="s">
        <v>21</v>
      </c>
      <c r="H16">
        <v>2</v>
      </c>
      <c r="I16" t="s">
        <v>42</v>
      </c>
    </row>
    <row r="17" spans="1:9" x14ac:dyDescent="0.3">
      <c r="A17" s="19" t="s">
        <v>85</v>
      </c>
      <c r="B17" s="5">
        <v>46080</v>
      </c>
      <c r="C17" s="19" t="s">
        <v>86</v>
      </c>
      <c r="D17" s="19" t="s">
        <v>64</v>
      </c>
      <c r="E17" s="19" t="s">
        <v>65</v>
      </c>
      <c r="F17" s="20" t="s">
        <v>66</v>
      </c>
      <c r="G17" s="20" t="s">
        <v>21</v>
      </c>
      <c r="H17">
        <v>2</v>
      </c>
      <c r="I17" t="s">
        <v>42</v>
      </c>
    </row>
    <row r="18" spans="1:9" x14ac:dyDescent="0.3">
      <c r="A18" s="19" t="s">
        <v>87</v>
      </c>
      <c r="B18" s="5">
        <v>46081</v>
      </c>
      <c r="C18" s="19" t="s">
        <v>88</v>
      </c>
      <c r="D18" s="19" t="s">
        <v>72</v>
      </c>
      <c r="E18" s="19" t="s">
        <v>24</v>
      </c>
      <c r="F18" s="20" t="s">
        <v>28</v>
      </c>
      <c r="G18" s="20" t="s">
        <v>21</v>
      </c>
      <c r="H18">
        <v>2</v>
      </c>
      <c r="I18" t="s">
        <v>42</v>
      </c>
    </row>
    <row r="19" spans="1:9" x14ac:dyDescent="0.3">
      <c r="A19" s="19" t="s">
        <v>89</v>
      </c>
      <c r="B19" s="5">
        <v>46082</v>
      </c>
      <c r="C19" s="19" t="s">
        <v>90</v>
      </c>
      <c r="D19" s="19" t="s">
        <v>61</v>
      </c>
      <c r="E19" s="19" t="s">
        <v>9</v>
      </c>
      <c r="F19" s="20" t="s">
        <v>20</v>
      </c>
      <c r="G19" s="20" t="s">
        <v>21</v>
      </c>
      <c r="H19">
        <v>3</v>
      </c>
      <c r="I19" t="s">
        <v>91</v>
      </c>
    </row>
    <row r="20" spans="1:9" x14ac:dyDescent="0.3">
      <c r="A20" s="19" t="s">
        <v>92</v>
      </c>
      <c r="B20" s="5">
        <v>46083</v>
      </c>
      <c r="C20" s="19" t="s">
        <v>93</v>
      </c>
      <c r="D20" s="19" t="s">
        <v>69</v>
      </c>
      <c r="E20" s="19" t="s">
        <v>19</v>
      </c>
      <c r="F20" s="20" t="s">
        <v>25</v>
      </c>
      <c r="G20" s="20" t="s">
        <v>21</v>
      </c>
      <c r="H20">
        <v>3</v>
      </c>
      <c r="I20" t="s">
        <v>91</v>
      </c>
    </row>
    <row r="21" spans="1:9" x14ac:dyDescent="0.3">
      <c r="A21" s="19" t="s">
        <v>94</v>
      </c>
      <c r="B21" s="5">
        <v>46084</v>
      </c>
      <c r="C21" s="19" t="s">
        <v>95</v>
      </c>
      <c r="D21" s="19" t="s">
        <v>78</v>
      </c>
      <c r="E21" s="19" t="s">
        <v>58</v>
      </c>
      <c r="F21" s="20" t="s">
        <v>28</v>
      </c>
      <c r="G21" s="20" t="s">
        <v>21</v>
      </c>
      <c r="H21">
        <v>3</v>
      </c>
      <c r="I21" t="s">
        <v>91</v>
      </c>
    </row>
    <row r="22" spans="1:9" x14ac:dyDescent="0.3">
      <c r="A22" s="19" t="s">
        <v>96</v>
      </c>
      <c r="B22" s="5">
        <v>46085</v>
      </c>
      <c r="C22" s="19" t="s">
        <v>97</v>
      </c>
      <c r="D22" s="19" t="s">
        <v>75</v>
      </c>
      <c r="E22" s="19" t="s">
        <v>19</v>
      </c>
      <c r="F22" s="20" t="s">
        <v>25</v>
      </c>
      <c r="G22" s="20" t="s">
        <v>21</v>
      </c>
      <c r="H22">
        <v>3</v>
      </c>
      <c r="I22" t="s">
        <v>91</v>
      </c>
    </row>
    <row r="23" spans="1:9" x14ac:dyDescent="0.3">
      <c r="A23" s="19" t="s">
        <v>98</v>
      </c>
      <c r="B23" s="5">
        <v>46086</v>
      </c>
      <c r="C23" s="19" t="s">
        <v>99</v>
      </c>
      <c r="D23" s="19" t="s">
        <v>54</v>
      </c>
      <c r="E23" s="19" t="s">
        <v>24</v>
      </c>
      <c r="F23" s="20" t="s">
        <v>25</v>
      </c>
      <c r="G23" s="20" t="s">
        <v>21</v>
      </c>
      <c r="H23">
        <v>3</v>
      </c>
      <c r="I23" t="s">
        <v>91</v>
      </c>
    </row>
    <row r="24" spans="1:9" x14ac:dyDescent="0.3">
      <c r="A24" s="19" t="s">
        <v>100</v>
      </c>
      <c r="B24" s="5">
        <v>46087</v>
      </c>
      <c r="C24" s="19" t="s">
        <v>101</v>
      </c>
      <c r="D24" s="19" t="s">
        <v>61</v>
      </c>
      <c r="E24" s="19" t="s">
        <v>58</v>
      </c>
      <c r="F24" s="20" t="s">
        <v>20</v>
      </c>
      <c r="G24" s="20" t="s">
        <v>21</v>
      </c>
      <c r="H24">
        <v>3</v>
      </c>
      <c r="I24" t="s">
        <v>91</v>
      </c>
    </row>
    <row r="25" spans="1:9" x14ac:dyDescent="0.3">
      <c r="A25" s="19" t="s">
        <v>102</v>
      </c>
      <c r="B25" s="5">
        <v>46088</v>
      </c>
      <c r="C25" s="19" t="s">
        <v>103</v>
      </c>
      <c r="D25" s="19" t="s">
        <v>64</v>
      </c>
      <c r="E25" s="19" t="s">
        <v>19</v>
      </c>
      <c r="F25" s="20" t="s">
        <v>66</v>
      </c>
      <c r="G25" s="20" t="s">
        <v>21</v>
      </c>
      <c r="H25">
        <v>3</v>
      </c>
      <c r="I25" t="s">
        <v>91</v>
      </c>
    </row>
    <row r="26" spans="1:9" x14ac:dyDescent="0.3">
      <c r="A26" s="19" t="s">
        <v>104</v>
      </c>
      <c r="B26" s="5">
        <v>46089</v>
      </c>
      <c r="C26" s="19" t="s">
        <v>105</v>
      </c>
      <c r="D26" s="19" t="s">
        <v>57</v>
      </c>
      <c r="E26" s="19" t="s">
        <v>24</v>
      </c>
      <c r="F26" s="20" t="s">
        <v>28</v>
      </c>
      <c r="G26" s="20" t="s">
        <v>21</v>
      </c>
      <c r="H26">
        <v>3</v>
      </c>
      <c r="I26" t="s">
        <v>91</v>
      </c>
    </row>
    <row r="27" spans="1:9" x14ac:dyDescent="0.3">
      <c r="A27" s="19" t="s">
        <v>106</v>
      </c>
      <c r="B27" s="5">
        <v>46090</v>
      </c>
      <c r="C27" s="19" t="s">
        <v>107</v>
      </c>
      <c r="D27" s="19" t="s">
        <v>69</v>
      </c>
      <c r="E27" s="19" t="s">
        <v>9</v>
      </c>
      <c r="F27" s="20" t="s">
        <v>25</v>
      </c>
      <c r="G27" s="20" t="s">
        <v>21</v>
      </c>
      <c r="H27">
        <v>3</v>
      </c>
      <c r="I27" t="s">
        <v>91</v>
      </c>
    </row>
    <row r="28" spans="1:9" x14ac:dyDescent="0.3">
      <c r="A28" s="19" t="s">
        <v>108</v>
      </c>
      <c r="B28" s="5">
        <v>46091</v>
      </c>
      <c r="C28" s="19" t="s">
        <v>116</v>
      </c>
      <c r="D28" s="19" t="s">
        <v>61</v>
      </c>
      <c r="E28" s="19" t="s">
        <v>19</v>
      </c>
      <c r="F28" s="20" t="s">
        <v>20</v>
      </c>
      <c r="G28" s="20" t="s">
        <v>21</v>
      </c>
      <c r="H28">
        <v>3</v>
      </c>
      <c r="I28" t="s">
        <v>91</v>
      </c>
    </row>
    <row r="29" spans="1:9" x14ac:dyDescent="0.3">
      <c r="A29" s="19" t="s">
        <v>109</v>
      </c>
      <c r="B29" s="5">
        <v>46092</v>
      </c>
      <c r="C29" s="19" t="s">
        <v>117</v>
      </c>
      <c r="D29" s="19" t="s">
        <v>75</v>
      </c>
      <c r="E29" s="19" t="s">
        <v>24</v>
      </c>
      <c r="F29" s="20" t="s">
        <v>28</v>
      </c>
      <c r="G29" s="20" t="s">
        <v>21</v>
      </c>
      <c r="H29">
        <v>3</v>
      </c>
      <c r="I29" t="s">
        <v>91</v>
      </c>
    </row>
    <row r="30" spans="1:9" x14ac:dyDescent="0.3">
      <c r="A30" s="19" t="s">
        <v>110</v>
      </c>
      <c r="B30" s="5">
        <v>46093</v>
      </c>
      <c r="C30" s="19" t="s">
        <v>118</v>
      </c>
      <c r="D30" s="19" t="s">
        <v>78</v>
      </c>
      <c r="E30" s="19" t="s">
        <v>58</v>
      </c>
      <c r="F30" s="20" t="s">
        <v>25</v>
      </c>
      <c r="G30" s="20" t="s">
        <v>21</v>
      </c>
      <c r="H30">
        <v>3</v>
      </c>
      <c r="I30" t="s">
        <v>91</v>
      </c>
    </row>
    <row r="31" spans="1:9" x14ac:dyDescent="0.3">
      <c r="A31" s="19" t="s">
        <v>111</v>
      </c>
      <c r="B31" s="5">
        <v>46094</v>
      </c>
      <c r="C31" s="19" t="s">
        <v>119</v>
      </c>
      <c r="D31" s="19" t="s">
        <v>54</v>
      </c>
      <c r="E31" s="19" t="s">
        <v>19</v>
      </c>
      <c r="F31" s="20" t="s">
        <v>25</v>
      </c>
      <c r="G31" s="20" t="s">
        <v>21</v>
      </c>
      <c r="H31">
        <v>3</v>
      </c>
      <c r="I31" t="s">
        <v>91</v>
      </c>
    </row>
    <row r="32" spans="1:9" x14ac:dyDescent="0.3">
      <c r="A32" s="19" t="s">
        <v>112</v>
      </c>
      <c r="B32" s="5">
        <v>46095</v>
      </c>
      <c r="C32" s="19" t="s">
        <v>120</v>
      </c>
      <c r="D32" s="19" t="s">
        <v>64</v>
      </c>
      <c r="E32" s="19" t="s">
        <v>58</v>
      </c>
      <c r="F32" s="20" t="s">
        <v>66</v>
      </c>
      <c r="G32" s="20" t="s">
        <v>21</v>
      </c>
      <c r="H32">
        <v>3</v>
      </c>
      <c r="I32" t="s">
        <v>91</v>
      </c>
    </row>
    <row r="33" spans="1:9" x14ac:dyDescent="0.3">
      <c r="A33" s="19" t="s">
        <v>113</v>
      </c>
      <c r="B33" s="5">
        <v>46096</v>
      </c>
      <c r="C33" s="19" t="s">
        <v>121</v>
      </c>
      <c r="D33" s="19" t="s">
        <v>72</v>
      </c>
      <c r="E33" s="19" t="s">
        <v>24</v>
      </c>
      <c r="F33" s="20" t="s">
        <v>28</v>
      </c>
      <c r="G33" s="20" t="s">
        <v>21</v>
      </c>
      <c r="H33">
        <v>3</v>
      </c>
      <c r="I33" t="s">
        <v>91</v>
      </c>
    </row>
    <row r="34" spans="1:9" x14ac:dyDescent="0.3">
      <c r="A34" s="19" t="s">
        <v>114</v>
      </c>
      <c r="B34" s="5">
        <v>46097</v>
      </c>
      <c r="C34" s="19" t="s">
        <v>122</v>
      </c>
      <c r="D34" s="19" t="s">
        <v>61</v>
      </c>
      <c r="E34" s="19" t="s">
        <v>19</v>
      </c>
      <c r="F34" s="20" t="s">
        <v>20</v>
      </c>
      <c r="G34" s="20" t="s">
        <v>21</v>
      </c>
      <c r="H34">
        <v>3</v>
      </c>
      <c r="I34" t="s">
        <v>91</v>
      </c>
    </row>
    <row r="35" spans="1:9" x14ac:dyDescent="0.3">
      <c r="A35" s="19" t="s">
        <v>115</v>
      </c>
      <c r="B35" s="5">
        <v>46098</v>
      </c>
      <c r="C35" s="19" t="s">
        <v>123</v>
      </c>
      <c r="D35" s="19" t="s">
        <v>57</v>
      </c>
      <c r="E35" s="19" t="s">
        <v>9</v>
      </c>
      <c r="F35" s="20" t="s">
        <v>25</v>
      </c>
      <c r="G35" s="20" t="s">
        <v>21</v>
      </c>
      <c r="H35">
        <v>3</v>
      </c>
      <c r="I35" t="s">
        <v>91</v>
      </c>
    </row>
  </sheetData>
  <dataConsolidate/>
  <phoneticPr fontId="10"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AC24-DE42-417B-935D-1396A6AB46C3}">
  <sheetPr codeName="Sheet2"/>
  <dimension ref="A1:F35"/>
  <sheetViews>
    <sheetView showGridLines="0" tabSelected="1" workbookViewId="0">
      <selection sqref="A1:F1"/>
    </sheetView>
  </sheetViews>
  <sheetFormatPr defaultRowHeight="14.4" x14ac:dyDescent="0.3"/>
  <cols>
    <col min="1" max="1" width="11.77734375" bestFit="1" customWidth="1"/>
    <col min="2" max="2" width="8.6640625" bestFit="1" customWidth="1"/>
    <col min="3" max="3" width="8.109375" bestFit="1" customWidth="1"/>
    <col min="4" max="4" width="7" bestFit="1" customWidth="1"/>
    <col min="5" max="5" width="10.77734375" bestFit="1" customWidth="1"/>
    <col min="6" max="6" width="9.88671875" bestFit="1" customWidth="1"/>
    <col min="7" max="8" width="12.44140625" bestFit="1" customWidth="1"/>
    <col min="9" max="9" width="10.77734375" bestFit="1" customWidth="1"/>
  </cols>
  <sheetData>
    <row r="1" spans="1:6" x14ac:dyDescent="0.3">
      <c r="A1" t="s">
        <v>29</v>
      </c>
      <c r="B1" t="s">
        <v>13</v>
      </c>
      <c r="C1" t="s">
        <v>30</v>
      </c>
      <c r="D1" t="s">
        <v>31</v>
      </c>
      <c r="E1" s="1" t="s">
        <v>10</v>
      </c>
      <c r="F1" t="s">
        <v>16</v>
      </c>
    </row>
    <row r="2" spans="1:6" x14ac:dyDescent="0.3">
      <c r="A2" s="19" t="s">
        <v>32</v>
      </c>
      <c r="B2" s="19" t="s">
        <v>0</v>
      </c>
      <c r="C2">
        <v>5</v>
      </c>
      <c r="D2">
        <v>250</v>
      </c>
      <c r="E2" s="24" t="s">
        <v>8</v>
      </c>
      <c r="F2" s="19" t="s">
        <v>33</v>
      </c>
    </row>
    <row r="3" spans="1:6" x14ac:dyDescent="0.3">
      <c r="A3" s="19" t="s">
        <v>34</v>
      </c>
      <c r="B3" s="19" t="s">
        <v>1</v>
      </c>
      <c r="C3">
        <v>3</v>
      </c>
      <c r="D3">
        <v>150</v>
      </c>
      <c r="E3" s="24" t="s">
        <v>9</v>
      </c>
      <c r="F3" s="19" t="s">
        <v>33</v>
      </c>
    </row>
    <row r="4" spans="1:6" x14ac:dyDescent="0.3">
      <c r="A4" s="19" t="s">
        <v>35</v>
      </c>
      <c r="B4" s="19" t="s">
        <v>2</v>
      </c>
      <c r="C4">
        <v>8</v>
      </c>
      <c r="D4">
        <v>400</v>
      </c>
      <c r="E4" s="24" t="s">
        <v>8</v>
      </c>
      <c r="F4" s="19" t="s">
        <v>33</v>
      </c>
    </row>
    <row r="5" spans="1:6" x14ac:dyDescent="0.3">
      <c r="A5" s="19" t="s">
        <v>49</v>
      </c>
      <c r="B5" s="19" t="s">
        <v>37</v>
      </c>
      <c r="C5">
        <v>2</v>
      </c>
      <c r="D5">
        <v>100</v>
      </c>
      <c r="E5" s="24" t="s">
        <v>8</v>
      </c>
      <c r="F5" s="19" t="s">
        <v>33</v>
      </c>
    </row>
    <row r="6" spans="1:6" x14ac:dyDescent="0.3">
      <c r="A6" s="19" t="s">
        <v>124</v>
      </c>
      <c r="B6" s="19" t="s">
        <v>53</v>
      </c>
      <c r="C6">
        <v>2</v>
      </c>
      <c r="D6">
        <v>75</v>
      </c>
      <c r="E6" s="24" t="s">
        <v>9</v>
      </c>
      <c r="F6" s="19" t="s">
        <v>33</v>
      </c>
    </row>
    <row r="7" spans="1:6" x14ac:dyDescent="0.3">
      <c r="A7" s="19" t="s">
        <v>125</v>
      </c>
      <c r="B7" s="19" t="s">
        <v>56</v>
      </c>
      <c r="C7">
        <v>2</v>
      </c>
      <c r="D7">
        <v>100</v>
      </c>
      <c r="E7" s="24" t="s">
        <v>9</v>
      </c>
      <c r="F7" s="19" t="s">
        <v>33</v>
      </c>
    </row>
    <row r="8" spans="1:6" x14ac:dyDescent="0.3">
      <c r="A8" s="19" t="s">
        <v>126</v>
      </c>
      <c r="B8" s="19" t="s">
        <v>60</v>
      </c>
      <c r="C8">
        <v>1</v>
      </c>
      <c r="D8">
        <v>50</v>
      </c>
      <c r="E8" s="24" t="s">
        <v>9</v>
      </c>
      <c r="F8" s="19" t="s">
        <v>33</v>
      </c>
    </row>
    <row r="9" spans="1:6" x14ac:dyDescent="0.3">
      <c r="A9" s="19" t="s">
        <v>127</v>
      </c>
      <c r="B9" s="19" t="s">
        <v>63</v>
      </c>
      <c r="C9">
        <v>2</v>
      </c>
      <c r="D9">
        <v>75</v>
      </c>
      <c r="E9" s="24" t="s">
        <v>9</v>
      </c>
      <c r="F9" s="19" t="s">
        <v>33</v>
      </c>
    </row>
    <row r="10" spans="1:6" x14ac:dyDescent="0.3">
      <c r="A10" s="19" t="s">
        <v>128</v>
      </c>
      <c r="B10" s="19" t="s">
        <v>68</v>
      </c>
      <c r="C10">
        <v>6</v>
      </c>
      <c r="D10">
        <v>300</v>
      </c>
      <c r="E10" s="24" t="s">
        <v>8</v>
      </c>
      <c r="F10" s="19" t="s">
        <v>33</v>
      </c>
    </row>
    <row r="11" spans="1:6" x14ac:dyDescent="0.3">
      <c r="A11" s="19" t="s">
        <v>129</v>
      </c>
      <c r="B11" s="19" t="s">
        <v>71</v>
      </c>
      <c r="C11">
        <v>7</v>
      </c>
      <c r="D11">
        <v>350</v>
      </c>
      <c r="E11" s="24" t="s">
        <v>8</v>
      </c>
      <c r="F11" s="19" t="s">
        <v>33</v>
      </c>
    </row>
    <row r="12" spans="1:6" x14ac:dyDescent="0.3">
      <c r="A12" s="19" t="s">
        <v>130</v>
      </c>
      <c r="B12" s="19" t="s">
        <v>74</v>
      </c>
      <c r="C12">
        <v>10</v>
      </c>
      <c r="D12">
        <v>500</v>
      </c>
      <c r="E12" s="24" t="s">
        <v>9</v>
      </c>
      <c r="F12" s="19" t="s">
        <v>33</v>
      </c>
    </row>
    <row r="13" spans="1:6" x14ac:dyDescent="0.3">
      <c r="A13" s="19" t="s">
        <v>131</v>
      </c>
      <c r="B13" s="19" t="s">
        <v>77</v>
      </c>
      <c r="C13">
        <v>8</v>
      </c>
      <c r="D13">
        <v>400</v>
      </c>
      <c r="E13" s="24" t="s">
        <v>9</v>
      </c>
      <c r="F13" s="19" t="s">
        <v>33</v>
      </c>
    </row>
    <row r="14" spans="1:6" x14ac:dyDescent="0.3">
      <c r="A14" s="19" t="s">
        <v>132</v>
      </c>
      <c r="B14" s="19" t="s">
        <v>80</v>
      </c>
      <c r="C14">
        <v>9</v>
      </c>
      <c r="D14">
        <v>450</v>
      </c>
      <c r="E14" s="24" t="s">
        <v>9</v>
      </c>
      <c r="F14" s="19" t="s">
        <v>33</v>
      </c>
    </row>
    <row r="15" spans="1:6" x14ac:dyDescent="0.3">
      <c r="A15" s="19" t="s">
        <v>133</v>
      </c>
      <c r="B15" s="19" t="s">
        <v>82</v>
      </c>
      <c r="C15">
        <v>15</v>
      </c>
      <c r="D15">
        <v>750</v>
      </c>
      <c r="E15" s="24" t="s">
        <v>9</v>
      </c>
      <c r="F15" s="19" t="s">
        <v>33</v>
      </c>
    </row>
    <row r="16" spans="1:6" x14ac:dyDescent="0.3">
      <c r="A16" s="19" t="s">
        <v>134</v>
      </c>
      <c r="B16" s="19" t="s">
        <v>84</v>
      </c>
      <c r="C16">
        <v>2</v>
      </c>
      <c r="D16">
        <v>100</v>
      </c>
      <c r="E16" s="24" t="s">
        <v>8</v>
      </c>
      <c r="F16" s="19" t="s">
        <v>33</v>
      </c>
    </row>
    <row r="17" spans="1:6" x14ac:dyDescent="0.3">
      <c r="A17" s="19" t="s">
        <v>135</v>
      </c>
      <c r="B17" s="19" t="s">
        <v>86</v>
      </c>
      <c r="C17">
        <v>8</v>
      </c>
      <c r="D17">
        <v>400</v>
      </c>
      <c r="E17" s="24" t="s">
        <v>8</v>
      </c>
      <c r="F17" s="19" t="s">
        <v>33</v>
      </c>
    </row>
    <row r="18" spans="1:6" x14ac:dyDescent="0.3">
      <c r="A18" s="19" t="s">
        <v>136</v>
      </c>
      <c r="B18" s="19" t="s">
        <v>88</v>
      </c>
      <c r="C18">
        <v>1</v>
      </c>
      <c r="D18">
        <v>50</v>
      </c>
      <c r="E18" s="24" t="s">
        <v>9</v>
      </c>
      <c r="F18" s="19" t="s">
        <v>33</v>
      </c>
    </row>
    <row r="19" spans="1:6" x14ac:dyDescent="0.3">
      <c r="A19" s="19" t="s">
        <v>137</v>
      </c>
      <c r="B19" s="19" t="s">
        <v>90</v>
      </c>
      <c r="C19">
        <v>3</v>
      </c>
      <c r="D19">
        <v>150</v>
      </c>
      <c r="E19" s="24" t="s">
        <v>9</v>
      </c>
      <c r="F19" s="19" t="s">
        <v>33</v>
      </c>
    </row>
    <row r="20" spans="1:6" x14ac:dyDescent="0.3">
      <c r="A20" s="19" t="s">
        <v>138</v>
      </c>
      <c r="B20" s="19" t="s">
        <v>93</v>
      </c>
      <c r="C20">
        <v>3</v>
      </c>
      <c r="D20">
        <v>150</v>
      </c>
      <c r="E20" s="24" t="s">
        <v>8</v>
      </c>
      <c r="F20" s="19" t="s">
        <v>33</v>
      </c>
    </row>
    <row r="21" spans="1:6" x14ac:dyDescent="0.3">
      <c r="A21" s="19" t="s">
        <v>139</v>
      </c>
      <c r="B21" s="19" t="s">
        <v>95</v>
      </c>
      <c r="C21">
        <v>2</v>
      </c>
      <c r="D21">
        <v>100</v>
      </c>
      <c r="E21" s="24" t="s">
        <v>8</v>
      </c>
      <c r="F21" s="19" t="s">
        <v>33</v>
      </c>
    </row>
    <row r="22" spans="1:6" x14ac:dyDescent="0.3">
      <c r="A22" s="19" t="s">
        <v>140</v>
      </c>
      <c r="B22" s="19" t="s">
        <v>97</v>
      </c>
      <c r="C22">
        <v>4</v>
      </c>
      <c r="D22">
        <v>200</v>
      </c>
      <c r="E22" s="24" t="s">
        <v>9</v>
      </c>
      <c r="F22" s="19" t="s">
        <v>33</v>
      </c>
    </row>
    <row r="23" spans="1:6" x14ac:dyDescent="0.3">
      <c r="A23" s="19" t="s">
        <v>141</v>
      </c>
      <c r="B23" s="19" t="s">
        <v>99</v>
      </c>
      <c r="C23">
        <v>7</v>
      </c>
      <c r="D23">
        <v>350</v>
      </c>
      <c r="E23" s="24" t="s">
        <v>9</v>
      </c>
      <c r="F23" s="19" t="s">
        <v>33</v>
      </c>
    </row>
    <row r="24" spans="1:6" x14ac:dyDescent="0.3">
      <c r="A24" s="19" t="s">
        <v>142</v>
      </c>
      <c r="B24" s="19" t="s">
        <v>101</v>
      </c>
      <c r="C24">
        <v>8</v>
      </c>
      <c r="D24">
        <v>400</v>
      </c>
      <c r="E24" s="24" t="s">
        <v>8</v>
      </c>
      <c r="F24" s="19" t="s">
        <v>33</v>
      </c>
    </row>
    <row r="25" spans="1:6" x14ac:dyDescent="0.3">
      <c r="A25" s="19" t="s">
        <v>143</v>
      </c>
      <c r="B25" s="19" t="s">
        <v>103</v>
      </c>
      <c r="C25">
        <v>15</v>
      </c>
      <c r="D25">
        <v>750</v>
      </c>
      <c r="E25" s="24" t="s">
        <v>8</v>
      </c>
      <c r="F25" s="19" t="s">
        <v>33</v>
      </c>
    </row>
    <row r="26" spans="1:6" x14ac:dyDescent="0.3">
      <c r="A26" s="19" t="s">
        <v>144</v>
      </c>
      <c r="B26" s="19" t="s">
        <v>105</v>
      </c>
      <c r="C26">
        <v>12</v>
      </c>
      <c r="D26">
        <v>600</v>
      </c>
      <c r="E26" s="24" t="s">
        <v>8</v>
      </c>
      <c r="F26" s="19" t="s">
        <v>33</v>
      </c>
    </row>
    <row r="27" spans="1:6" x14ac:dyDescent="0.3">
      <c r="A27" s="19" t="s">
        <v>145</v>
      </c>
      <c r="B27" s="19" t="s">
        <v>107</v>
      </c>
      <c r="C27">
        <v>0</v>
      </c>
      <c r="D27">
        <v>25</v>
      </c>
      <c r="E27" s="24" t="s">
        <v>9</v>
      </c>
      <c r="F27" s="19" t="s">
        <v>33</v>
      </c>
    </row>
    <row r="28" spans="1:6" x14ac:dyDescent="0.3">
      <c r="A28" s="19" t="s">
        <v>146</v>
      </c>
      <c r="B28" s="19" t="s">
        <v>116</v>
      </c>
      <c r="C28">
        <v>2</v>
      </c>
      <c r="D28">
        <v>100</v>
      </c>
      <c r="E28" s="24" t="s">
        <v>9</v>
      </c>
      <c r="F28" s="19" t="s">
        <v>33</v>
      </c>
    </row>
    <row r="29" spans="1:6" x14ac:dyDescent="0.3">
      <c r="A29" s="19" t="s">
        <v>147</v>
      </c>
      <c r="B29" s="19" t="s">
        <v>117</v>
      </c>
      <c r="C29">
        <v>1</v>
      </c>
      <c r="D29">
        <v>50</v>
      </c>
      <c r="E29" s="24" t="s">
        <v>9</v>
      </c>
      <c r="F29" s="19" t="s">
        <v>33</v>
      </c>
    </row>
    <row r="30" spans="1:6" x14ac:dyDescent="0.3">
      <c r="A30" s="19" t="s">
        <v>148</v>
      </c>
      <c r="B30" s="19" t="s">
        <v>118</v>
      </c>
      <c r="C30">
        <v>6</v>
      </c>
      <c r="D30">
        <v>300</v>
      </c>
      <c r="E30" s="24" t="s">
        <v>9</v>
      </c>
      <c r="F30" s="19" t="s">
        <v>33</v>
      </c>
    </row>
    <row r="31" spans="1:6" x14ac:dyDescent="0.3">
      <c r="A31" s="19" t="s">
        <v>149</v>
      </c>
      <c r="B31" s="19" t="s">
        <v>119</v>
      </c>
      <c r="C31">
        <v>8</v>
      </c>
      <c r="D31">
        <v>400</v>
      </c>
      <c r="E31" s="24" t="s">
        <v>8</v>
      </c>
      <c r="F31" s="19" t="s">
        <v>33</v>
      </c>
    </row>
    <row r="32" spans="1:6" x14ac:dyDescent="0.3">
      <c r="A32" s="19" t="s">
        <v>150</v>
      </c>
      <c r="B32" s="19" t="s">
        <v>120</v>
      </c>
      <c r="C32">
        <v>7</v>
      </c>
      <c r="D32">
        <v>350</v>
      </c>
      <c r="E32" s="24" t="s">
        <v>8</v>
      </c>
      <c r="F32" s="19" t="s">
        <v>33</v>
      </c>
    </row>
    <row r="33" spans="1:6" x14ac:dyDescent="0.3">
      <c r="A33" s="19" t="s">
        <v>151</v>
      </c>
      <c r="B33" s="19" t="s">
        <v>121</v>
      </c>
      <c r="C33">
        <v>9</v>
      </c>
      <c r="D33">
        <v>450</v>
      </c>
      <c r="E33" s="24" t="s">
        <v>8</v>
      </c>
      <c r="F33" s="19" t="s">
        <v>33</v>
      </c>
    </row>
    <row r="34" spans="1:6" x14ac:dyDescent="0.3">
      <c r="A34" s="19" t="s">
        <v>152</v>
      </c>
      <c r="B34" s="19" t="s">
        <v>122</v>
      </c>
      <c r="C34">
        <v>6</v>
      </c>
      <c r="D34">
        <v>300</v>
      </c>
      <c r="E34" s="24" t="s">
        <v>8</v>
      </c>
      <c r="F34" s="19" t="s">
        <v>33</v>
      </c>
    </row>
    <row r="35" spans="1:6" x14ac:dyDescent="0.3">
      <c r="A35" s="19" t="s">
        <v>153</v>
      </c>
      <c r="B35" s="19" t="s">
        <v>123</v>
      </c>
      <c r="C35">
        <v>2</v>
      </c>
      <c r="D35">
        <v>100</v>
      </c>
      <c r="E35" s="24" t="s">
        <v>8</v>
      </c>
      <c r="F35" s="19" t="s">
        <v>33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4A9F2-A120-4E81-B91D-B6BE7E1B3087}">
  <sheetPr codeName="Sheet4"/>
  <dimension ref="A1:U36"/>
  <sheetViews>
    <sheetView showGridLines="0" workbookViewId="0">
      <selection activeCell="M8" sqref="M8"/>
    </sheetView>
  </sheetViews>
  <sheetFormatPr defaultRowHeight="14.4" x14ac:dyDescent="0.3"/>
  <cols>
    <col min="1" max="1" width="12.44140625" bestFit="1" customWidth="1"/>
    <col min="2" max="2" width="15.88671875" bestFit="1" customWidth="1"/>
    <col min="4" max="4" width="12.44140625" bestFit="1" customWidth="1"/>
    <col min="5" max="5" width="10.77734375" bestFit="1" customWidth="1"/>
  </cols>
  <sheetData>
    <row r="1" spans="1:21" x14ac:dyDescent="0.3">
      <c r="A1" s="2" t="s">
        <v>4</v>
      </c>
      <c r="B1" t="s">
        <v>50</v>
      </c>
      <c r="D1" s="2" t="s">
        <v>4</v>
      </c>
      <c r="E1" t="s">
        <v>6</v>
      </c>
      <c r="K1" s="4"/>
      <c r="L1" s="4"/>
      <c r="M1" s="4"/>
      <c r="R1" s="4" t="s">
        <v>13</v>
      </c>
      <c r="S1" s="4" t="s">
        <v>51</v>
      </c>
      <c r="T1" s="4" t="s">
        <v>30</v>
      </c>
      <c r="U1" s="4" t="s">
        <v>154</v>
      </c>
    </row>
    <row r="2" spans="1:21" x14ac:dyDescent="0.3">
      <c r="A2" s="3" t="s">
        <v>0</v>
      </c>
      <c r="B2" s="19">
        <v>1</v>
      </c>
      <c r="D2" s="3" t="s">
        <v>0</v>
      </c>
      <c r="E2" s="19">
        <v>250</v>
      </c>
      <c r="R2" t="str" cm="1">
        <f t="array" ref="R2:U6">_xlfn.LET(_xlpm.clients,_xlfn.UNIQUE(CRM_EXPORT[Client]),_xlpm.tickets,_xlfn.MAP(_xlpm.clients,_xlfn.LAMBDA(_xlpm.c,COUNTIF(CRM_EXPORT[Client],_xlpm.c))),_xlpm.hours,_xlfn.MAP(_xlpm.clients,_xlfn.LAMBDA(_xlpm.c,SUMIF(BILLING_EXPORT[Client],_xlpm.c,BILLING_EXPORT[Hours]))),_xlpm.total,_xlpm.tickets+_xlpm.hours,_xlpm.data,_xlfn.HSTACK(_xlpm.clients,_xlpm.tickets,_xlpm.hours,_xlpm.total),_xlpm.sorted,_xlfn.SORTBY(_xlpm.data,INDEX(_xlpm.data,,4),-1),_xlfn.TAKE(_xlpm.sorted,5))</f>
        <v>Client N</v>
      </c>
      <c r="S2">
        <v>1</v>
      </c>
      <c r="T2">
        <v>15</v>
      </c>
      <c r="U2">
        <v>16</v>
      </c>
    </row>
    <row r="3" spans="1:21" x14ac:dyDescent="0.3">
      <c r="A3" s="3" t="s">
        <v>116</v>
      </c>
      <c r="B3" s="19">
        <v>1</v>
      </c>
      <c r="D3" s="3" t="s">
        <v>116</v>
      </c>
      <c r="E3" s="19">
        <v>100</v>
      </c>
      <c r="R3" t="str">
        <v>Client X</v>
      </c>
      <c r="S3">
        <v>1</v>
      </c>
      <c r="T3">
        <v>15</v>
      </c>
      <c r="U3">
        <v>16</v>
      </c>
    </row>
    <row r="4" spans="1:21" x14ac:dyDescent="0.3">
      <c r="A4" s="3" t="s">
        <v>1</v>
      </c>
      <c r="B4" s="19">
        <v>1</v>
      </c>
      <c r="D4" s="3" t="s">
        <v>1</v>
      </c>
      <c r="E4" s="19">
        <v>150</v>
      </c>
      <c r="R4" t="str">
        <v>Client Y</v>
      </c>
      <c r="S4">
        <v>1</v>
      </c>
      <c r="T4">
        <v>12</v>
      </c>
      <c r="U4">
        <v>13</v>
      </c>
    </row>
    <row r="5" spans="1:21" x14ac:dyDescent="0.3">
      <c r="A5" s="3" t="s">
        <v>117</v>
      </c>
      <c r="B5" s="19">
        <v>1</v>
      </c>
      <c r="D5" s="3" t="s">
        <v>117</v>
      </c>
      <c r="E5" s="19">
        <v>50</v>
      </c>
      <c r="R5" t="str">
        <v>Client K</v>
      </c>
      <c r="S5">
        <v>1</v>
      </c>
      <c r="T5">
        <v>10</v>
      </c>
      <c r="U5">
        <v>11</v>
      </c>
    </row>
    <row r="6" spans="1:21" x14ac:dyDescent="0.3">
      <c r="A6" s="3" t="s">
        <v>2</v>
      </c>
      <c r="B6" s="19">
        <v>1</v>
      </c>
      <c r="D6" s="3" t="s">
        <v>2</v>
      </c>
      <c r="E6" s="19">
        <v>400</v>
      </c>
      <c r="R6" t="str">
        <v>Client M</v>
      </c>
      <c r="S6">
        <v>1</v>
      </c>
      <c r="T6">
        <v>9</v>
      </c>
      <c r="U6">
        <v>10</v>
      </c>
    </row>
    <row r="7" spans="1:21" x14ac:dyDescent="0.3">
      <c r="A7" s="3" t="s">
        <v>118</v>
      </c>
      <c r="B7" s="19">
        <v>1</v>
      </c>
      <c r="D7" s="3" t="s">
        <v>118</v>
      </c>
      <c r="E7" s="19">
        <v>300</v>
      </c>
    </row>
    <row r="8" spans="1:21" x14ac:dyDescent="0.3">
      <c r="A8" s="3" t="s">
        <v>37</v>
      </c>
      <c r="B8" s="19">
        <v>1</v>
      </c>
      <c r="D8" s="3" t="s">
        <v>37</v>
      </c>
      <c r="E8" s="19">
        <v>100</v>
      </c>
    </row>
    <row r="9" spans="1:21" x14ac:dyDescent="0.3">
      <c r="A9" s="3" t="s">
        <v>119</v>
      </c>
      <c r="B9" s="19">
        <v>1</v>
      </c>
      <c r="D9" s="3" t="s">
        <v>119</v>
      </c>
      <c r="E9" s="19">
        <v>400</v>
      </c>
    </row>
    <row r="10" spans="1:21" x14ac:dyDescent="0.3">
      <c r="A10" s="3" t="s">
        <v>53</v>
      </c>
      <c r="B10" s="19">
        <v>1</v>
      </c>
      <c r="D10" s="3" t="s">
        <v>53</v>
      </c>
      <c r="E10" s="19">
        <v>75</v>
      </c>
    </row>
    <row r="11" spans="1:21" x14ac:dyDescent="0.3">
      <c r="A11" s="3" t="s">
        <v>120</v>
      </c>
      <c r="B11" s="19">
        <v>1</v>
      </c>
      <c r="D11" s="3" t="s">
        <v>120</v>
      </c>
      <c r="E11" s="19">
        <v>350</v>
      </c>
    </row>
    <row r="12" spans="1:21" x14ac:dyDescent="0.3">
      <c r="A12" s="3" t="s">
        <v>56</v>
      </c>
      <c r="B12" s="19">
        <v>1</v>
      </c>
      <c r="D12" s="3" t="s">
        <v>56</v>
      </c>
      <c r="E12" s="19">
        <v>100</v>
      </c>
    </row>
    <row r="13" spans="1:21" x14ac:dyDescent="0.3">
      <c r="A13" s="3" t="s">
        <v>121</v>
      </c>
      <c r="B13" s="19">
        <v>1</v>
      </c>
      <c r="D13" s="3" t="s">
        <v>121</v>
      </c>
      <c r="E13" s="19">
        <v>450</v>
      </c>
    </row>
    <row r="14" spans="1:21" x14ac:dyDescent="0.3">
      <c r="A14" s="3" t="s">
        <v>60</v>
      </c>
      <c r="B14" s="19">
        <v>1</v>
      </c>
      <c r="D14" s="3" t="s">
        <v>60</v>
      </c>
      <c r="E14" s="19">
        <v>50</v>
      </c>
    </row>
    <row r="15" spans="1:21" x14ac:dyDescent="0.3">
      <c r="A15" s="3" t="s">
        <v>122</v>
      </c>
      <c r="B15" s="19">
        <v>1</v>
      </c>
      <c r="D15" s="3" t="s">
        <v>122</v>
      </c>
      <c r="E15" s="19">
        <v>300</v>
      </c>
    </row>
    <row r="16" spans="1:21" x14ac:dyDescent="0.3">
      <c r="A16" s="3" t="s">
        <v>63</v>
      </c>
      <c r="B16" s="19">
        <v>1</v>
      </c>
      <c r="D16" s="3" t="s">
        <v>63</v>
      </c>
      <c r="E16" s="19">
        <v>75</v>
      </c>
    </row>
    <row r="17" spans="1:5" x14ac:dyDescent="0.3">
      <c r="A17" s="3" t="s">
        <v>123</v>
      </c>
      <c r="B17" s="19">
        <v>1</v>
      </c>
      <c r="D17" s="3" t="s">
        <v>123</v>
      </c>
      <c r="E17" s="19">
        <v>100</v>
      </c>
    </row>
    <row r="18" spans="1:5" x14ac:dyDescent="0.3">
      <c r="A18" s="3" t="s">
        <v>68</v>
      </c>
      <c r="B18" s="19">
        <v>1</v>
      </c>
      <c r="D18" s="3" t="s">
        <v>68</v>
      </c>
      <c r="E18" s="19">
        <v>300</v>
      </c>
    </row>
    <row r="19" spans="1:5" x14ac:dyDescent="0.3">
      <c r="A19" s="3" t="s">
        <v>71</v>
      </c>
      <c r="B19" s="19">
        <v>1</v>
      </c>
      <c r="D19" s="3" t="s">
        <v>71</v>
      </c>
      <c r="E19" s="19">
        <v>350</v>
      </c>
    </row>
    <row r="20" spans="1:5" x14ac:dyDescent="0.3">
      <c r="A20" s="3" t="s">
        <v>74</v>
      </c>
      <c r="B20" s="19">
        <v>1</v>
      </c>
      <c r="D20" s="3" t="s">
        <v>74</v>
      </c>
      <c r="E20" s="19">
        <v>500</v>
      </c>
    </row>
    <row r="21" spans="1:5" x14ac:dyDescent="0.3">
      <c r="A21" s="3" t="s">
        <v>77</v>
      </c>
      <c r="B21" s="19">
        <v>1</v>
      </c>
      <c r="D21" s="3" t="s">
        <v>77</v>
      </c>
      <c r="E21" s="19">
        <v>400</v>
      </c>
    </row>
    <row r="22" spans="1:5" x14ac:dyDescent="0.3">
      <c r="A22" s="3" t="s">
        <v>80</v>
      </c>
      <c r="B22" s="19">
        <v>1</v>
      </c>
      <c r="D22" s="3" t="s">
        <v>80</v>
      </c>
      <c r="E22" s="19">
        <v>450</v>
      </c>
    </row>
    <row r="23" spans="1:5" x14ac:dyDescent="0.3">
      <c r="A23" s="3" t="s">
        <v>82</v>
      </c>
      <c r="B23" s="19">
        <v>1</v>
      </c>
      <c r="D23" s="3" t="s">
        <v>82</v>
      </c>
      <c r="E23" s="19">
        <v>750</v>
      </c>
    </row>
    <row r="24" spans="1:5" x14ac:dyDescent="0.3">
      <c r="A24" s="3" t="s">
        <v>84</v>
      </c>
      <c r="B24" s="19">
        <v>1</v>
      </c>
      <c r="D24" s="3" t="s">
        <v>84</v>
      </c>
      <c r="E24" s="19">
        <v>100</v>
      </c>
    </row>
    <row r="25" spans="1:5" x14ac:dyDescent="0.3">
      <c r="A25" s="3" t="s">
        <v>86</v>
      </c>
      <c r="B25" s="19">
        <v>1</v>
      </c>
      <c r="D25" s="3" t="s">
        <v>86</v>
      </c>
      <c r="E25" s="19">
        <v>400</v>
      </c>
    </row>
    <row r="26" spans="1:5" x14ac:dyDescent="0.3">
      <c r="A26" s="3" t="s">
        <v>88</v>
      </c>
      <c r="B26" s="19">
        <v>1</v>
      </c>
      <c r="D26" s="3" t="s">
        <v>88</v>
      </c>
      <c r="E26" s="19">
        <v>50</v>
      </c>
    </row>
    <row r="27" spans="1:5" x14ac:dyDescent="0.3">
      <c r="A27" s="3" t="s">
        <v>90</v>
      </c>
      <c r="B27" s="19">
        <v>1</v>
      </c>
      <c r="D27" s="3" t="s">
        <v>90</v>
      </c>
      <c r="E27" s="19">
        <v>150</v>
      </c>
    </row>
    <row r="28" spans="1:5" x14ac:dyDescent="0.3">
      <c r="A28" s="3" t="s">
        <v>93</v>
      </c>
      <c r="B28" s="19">
        <v>1</v>
      </c>
      <c r="D28" s="3" t="s">
        <v>93</v>
      </c>
      <c r="E28" s="19">
        <v>150</v>
      </c>
    </row>
    <row r="29" spans="1:5" x14ac:dyDescent="0.3">
      <c r="A29" s="3" t="s">
        <v>95</v>
      </c>
      <c r="B29" s="19">
        <v>1</v>
      </c>
      <c r="D29" s="3" t="s">
        <v>95</v>
      </c>
      <c r="E29" s="19">
        <v>100</v>
      </c>
    </row>
    <row r="30" spans="1:5" x14ac:dyDescent="0.3">
      <c r="A30" s="3" t="s">
        <v>97</v>
      </c>
      <c r="B30" s="19">
        <v>1</v>
      </c>
      <c r="D30" s="3" t="s">
        <v>97</v>
      </c>
      <c r="E30" s="19">
        <v>200</v>
      </c>
    </row>
    <row r="31" spans="1:5" x14ac:dyDescent="0.3">
      <c r="A31" s="3" t="s">
        <v>99</v>
      </c>
      <c r="B31" s="19">
        <v>1</v>
      </c>
      <c r="D31" s="3" t="s">
        <v>99</v>
      </c>
      <c r="E31" s="19">
        <v>350</v>
      </c>
    </row>
    <row r="32" spans="1:5" x14ac:dyDescent="0.3">
      <c r="A32" s="3" t="s">
        <v>101</v>
      </c>
      <c r="B32" s="19">
        <v>1</v>
      </c>
      <c r="D32" s="3" t="s">
        <v>101</v>
      </c>
      <c r="E32" s="19">
        <v>400</v>
      </c>
    </row>
    <row r="33" spans="1:5" x14ac:dyDescent="0.3">
      <c r="A33" s="3" t="s">
        <v>103</v>
      </c>
      <c r="B33" s="19">
        <v>1</v>
      </c>
      <c r="D33" s="3" t="s">
        <v>103</v>
      </c>
      <c r="E33" s="19">
        <v>750</v>
      </c>
    </row>
    <row r="34" spans="1:5" x14ac:dyDescent="0.3">
      <c r="A34" s="3" t="s">
        <v>105</v>
      </c>
      <c r="B34" s="19">
        <v>1</v>
      </c>
      <c r="D34" s="3" t="s">
        <v>105</v>
      </c>
      <c r="E34" s="19">
        <v>600</v>
      </c>
    </row>
    <row r="35" spans="1:5" x14ac:dyDescent="0.3">
      <c r="A35" s="3" t="s">
        <v>107</v>
      </c>
      <c r="B35" s="19">
        <v>1</v>
      </c>
      <c r="D35" s="3" t="s">
        <v>107</v>
      </c>
      <c r="E35" s="19">
        <v>25</v>
      </c>
    </row>
    <row r="36" spans="1:5" x14ac:dyDescent="0.3">
      <c r="A36" s="3" t="s">
        <v>5</v>
      </c>
      <c r="B36" s="19">
        <v>34</v>
      </c>
      <c r="D36" s="3" t="s">
        <v>5</v>
      </c>
      <c r="E36" s="19">
        <v>9275</v>
      </c>
    </row>
  </sheetData>
  <sheetProtection algorithmName="SHA-512" hashValue="8uQFyNEtQDoN9ZiGkOCWaEwrRs+PYu2T/LV9qMu2J44gU+YNHFq8jX/YQ9SsktouRd7NvGIPKu0OcJ3M83Bs6g==" saltValue="ApZpJeCb8fpsg/XMd0yzyQ==" spinCount="100000" sheet="1" objects="1" scenarios="1"/>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AF184-ABAD-4C47-AB12-20EB0D812FB7}">
  <sheetPr codeName="Sheet5"/>
  <dimension ref="A1:G36"/>
  <sheetViews>
    <sheetView showGridLines="0" workbookViewId="0"/>
  </sheetViews>
  <sheetFormatPr defaultRowHeight="14.4" x14ac:dyDescent="0.3"/>
  <cols>
    <col min="1" max="1" width="12.44140625" bestFit="1" customWidth="1"/>
    <col min="2" max="2" width="11.88671875" bestFit="1" customWidth="1"/>
    <col min="3" max="3" width="10.77734375" bestFit="1" customWidth="1"/>
    <col min="6" max="6" width="12.44140625" bestFit="1" customWidth="1"/>
    <col min="7" max="7" width="15.88671875" bestFit="1" customWidth="1"/>
  </cols>
  <sheetData>
    <row r="1" spans="1:7" x14ac:dyDescent="0.3">
      <c r="A1" s="2" t="s">
        <v>4</v>
      </c>
      <c r="B1" t="s">
        <v>155</v>
      </c>
      <c r="C1" t="s">
        <v>6</v>
      </c>
      <c r="F1" s="2" t="s">
        <v>4</v>
      </c>
      <c r="G1" t="s">
        <v>50</v>
      </c>
    </row>
    <row r="2" spans="1:7" x14ac:dyDescent="0.3">
      <c r="A2" s="3" t="s">
        <v>0</v>
      </c>
      <c r="B2" s="19">
        <v>5</v>
      </c>
      <c r="C2" s="19">
        <v>250</v>
      </c>
      <c r="F2" s="3" t="s">
        <v>41</v>
      </c>
      <c r="G2" s="19">
        <v>3</v>
      </c>
    </row>
    <row r="3" spans="1:7" x14ac:dyDescent="0.3">
      <c r="A3" s="3" t="s">
        <v>116</v>
      </c>
      <c r="B3" s="19">
        <v>2</v>
      </c>
      <c r="C3" s="19">
        <v>100</v>
      </c>
      <c r="F3" s="3" t="s">
        <v>42</v>
      </c>
      <c r="G3" s="19">
        <v>14</v>
      </c>
    </row>
    <row r="4" spans="1:7" x14ac:dyDescent="0.3">
      <c r="A4" s="3" t="s">
        <v>1</v>
      </c>
      <c r="B4" s="19">
        <v>3</v>
      </c>
      <c r="C4" s="19">
        <v>150</v>
      </c>
      <c r="F4" s="3" t="s">
        <v>91</v>
      </c>
      <c r="G4" s="19">
        <v>17</v>
      </c>
    </row>
    <row r="5" spans="1:7" x14ac:dyDescent="0.3">
      <c r="A5" s="3" t="s">
        <v>117</v>
      </c>
      <c r="B5" s="19">
        <v>1</v>
      </c>
      <c r="C5" s="19">
        <v>50</v>
      </c>
      <c r="F5" s="3" t="s">
        <v>5</v>
      </c>
      <c r="G5" s="19">
        <v>34</v>
      </c>
    </row>
    <row r="6" spans="1:7" x14ac:dyDescent="0.3">
      <c r="A6" s="3" t="s">
        <v>2</v>
      </c>
      <c r="B6" s="19">
        <v>8</v>
      </c>
      <c r="C6" s="19">
        <v>400</v>
      </c>
    </row>
    <row r="7" spans="1:7" x14ac:dyDescent="0.3">
      <c r="A7" s="3" t="s">
        <v>118</v>
      </c>
      <c r="B7" s="19">
        <v>6</v>
      </c>
      <c r="C7" s="19">
        <v>300</v>
      </c>
    </row>
    <row r="8" spans="1:7" x14ac:dyDescent="0.3">
      <c r="A8" s="3" t="s">
        <v>37</v>
      </c>
      <c r="B8" s="19">
        <v>2</v>
      </c>
      <c r="C8" s="19">
        <v>100</v>
      </c>
    </row>
    <row r="9" spans="1:7" x14ac:dyDescent="0.3">
      <c r="A9" s="3" t="s">
        <v>119</v>
      </c>
      <c r="B9" s="19">
        <v>8</v>
      </c>
      <c r="C9" s="19">
        <v>400</v>
      </c>
    </row>
    <row r="10" spans="1:7" x14ac:dyDescent="0.3">
      <c r="A10" s="3" t="s">
        <v>53</v>
      </c>
      <c r="B10" s="19">
        <v>2</v>
      </c>
      <c r="C10" s="19">
        <v>75</v>
      </c>
    </row>
    <row r="11" spans="1:7" x14ac:dyDescent="0.3">
      <c r="A11" s="3" t="s">
        <v>120</v>
      </c>
      <c r="B11" s="19">
        <v>7</v>
      </c>
      <c r="C11" s="19">
        <v>350</v>
      </c>
    </row>
    <row r="12" spans="1:7" x14ac:dyDescent="0.3">
      <c r="A12" s="3" t="s">
        <v>56</v>
      </c>
      <c r="B12" s="19">
        <v>2</v>
      </c>
      <c r="C12" s="19">
        <v>100</v>
      </c>
    </row>
    <row r="13" spans="1:7" x14ac:dyDescent="0.3">
      <c r="A13" s="3" t="s">
        <v>121</v>
      </c>
      <c r="B13" s="19">
        <v>9</v>
      </c>
      <c r="C13" s="19">
        <v>450</v>
      </c>
    </row>
    <row r="14" spans="1:7" x14ac:dyDescent="0.3">
      <c r="A14" s="3" t="s">
        <v>60</v>
      </c>
      <c r="B14" s="19">
        <v>1</v>
      </c>
      <c r="C14" s="19">
        <v>50</v>
      </c>
    </row>
    <row r="15" spans="1:7" x14ac:dyDescent="0.3">
      <c r="A15" s="3" t="s">
        <v>122</v>
      </c>
      <c r="B15" s="19">
        <v>6</v>
      </c>
      <c r="C15" s="19">
        <v>300</v>
      </c>
    </row>
    <row r="16" spans="1:7" x14ac:dyDescent="0.3">
      <c r="A16" s="3" t="s">
        <v>63</v>
      </c>
      <c r="B16" s="19">
        <v>2</v>
      </c>
      <c r="C16" s="19">
        <v>75</v>
      </c>
    </row>
    <row r="17" spans="1:3" x14ac:dyDescent="0.3">
      <c r="A17" s="3" t="s">
        <v>123</v>
      </c>
      <c r="B17" s="19">
        <v>2</v>
      </c>
      <c r="C17" s="19">
        <v>100</v>
      </c>
    </row>
    <row r="18" spans="1:3" x14ac:dyDescent="0.3">
      <c r="A18" s="3" t="s">
        <v>68</v>
      </c>
      <c r="B18" s="19">
        <v>6</v>
      </c>
      <c r="C18" s="19">
        <v>300</v>
      </c>
    </row>
    <row r="19" spans="1:3" x14ac:dyDescent="0.3">
      <c r="A19" s="3" t="s">
        <v>71</v>
      </c>
      <c r="B19" s="19">
        <v>7</v>
      </c>
      <c r="C19" s="19">
        <v>350</v>
      </c>
    </row>
    <row r="20" spans="1:3" x14ac:dyDescent="0.3">
      <c r="A20" s="3" t="s">
        <v>74</v>
      </c>
      <c r="B20" s="19">
        <v>10</v>
      </c>
      <c r="C20" s="19">
        <v>500</v>
      </c>
    </row>
    <row r="21" spans="1:3" x14ac:dyDescent="0.3">
      <c r="A21" s="3" t="s">
        <v>77</v>
      </c>
      <c r="B21" s="19">
        <v>8</v>
      </c>
      <c r="C21" s="19">
        <v>400</v>
      </c>
    </row>
    <row r="22" spans="1:3" x14ac:dyDescent="0.3">
      <c r="A22" s="3" t="s">
        <v>80</v>
      </c>
      <c r="B22" s="19">
        <v>9</v>
      </c>
      <c r="C22" s="19">
        <v>450</v>
      </c>
    </row>
    <row r="23" spans="1:3" x14ac:dyDescent="0.3">
      <c r="A23" s="3" t="s">
        <v>82</v>
      </c>
      <c r="B23" s="19">
        <v>15</v>
      </c>
      <c r="C23" s="19">
        <v>750</v>
      </c>
    </row>
    <row r="24" spans="1:3" x14ac:dyDescent="0.3">
      <c r="A24" s="3" t="s">
        <v>84</v>
      </c>
      <c r="B24" s="19">
        <v>2</v>
      </c>
      <c r="C24" s="19">
        <v>100</v>
      </c>
    </row>
    <row r="25" spans="1:3" x14ac:dyDescent="0.3">
      <c r="A25" s="3" t="s">
        <v>86</v>
      </c>
      <c r="B25" s="19">
        <v>8</v>
      </c>
      <c r="C25" s="19">
        <v>400</v>
      </c>
    </row>
    <row r="26" spans="1:3" x14ac:dyDescent="0.3">
      <c r="A26" s="3" t="s">
        <v>88</v>
      </c>
      <c r="B26" s="19">
        <v>1</v>
      </c>
      <c r="C26" s="19">
        <v>50</v>
      </c>
    </row>
    <row r="27" spans="1:3" x14ac:dyDescent="0.3">
      <c r="A27" s="3" t="s">
        <v>90</v>
      </c>
      <c r="B27" s="19">
        <v>3</v>
      </c>
      <c r="C27" s="19">
        <v>150</v>
      </c>
    </row>
    <row r="28" spans="1:3" x14ac:dyDescent="0.3">
      <c r="A28" s="3" t="s">
        <v>93</v>
      </c>
      <c r="B28" s="19">
        <v>3</v>
      </c>
      <c r="C28" s="19">
        <v>150</v>
      </c>
    </row>
    <row r="29" spans="1:3" x14ac:dyDescent="0.3">
      <c r="A29" s="3" t="s">
        <v>95</v>
      </c>
      <c r="B29" s="19">
        <v>2</v>
      </c>
      <c r="C29" s="19">
        <v>100</v>
      </c>
    </row>
    <row r="30" spans="1:3" x14ac:dyDescent="0.3">
      <c r="A30" s="3" t="s">
        <v>97</v>
      </c>
      <c r="B30" s="19">
        <v>4</v>
      </c>
      <c r="C30" s="19">
        <v>200</v>
      </c>
    </row>
    <row r="31" spans="1:3" x14ac:dyDescent="0.3">
      <c r="A31" s="3" t="s">
        <v>99</v>
      </c>
      <c r="B31" s="19">
        <v>7</v>
      </c>
      <c r="C31" s="19">
        <v>350</v>
      </c>
    </row>
    <row r="32" spans="1:3" x14ac:dyDescent="0.3">
      <c r="A32" s="3" t="s">
        <v>101</v>
      </c>
      <c r="B32" s="19">
        <v>8</v>
      </c>
      <c r="C32" s="19">
        <v>400</v>
      </c>
    </row>
    <row r="33" spans="1:3" x14ac:dyDescent="0.3">
      <c r="A33" s="3" t="s">
        <v>103</v>
      </c>
      <c r="B33" s="19">
        <v>15</v>
      </c>
      <c r="C33" s="19">
        <v>750</v>
      </c>
    </row>
    <row r="34" spans="1:3" x14ac:dyDescent="0.3">
      <c r="A34" s="3" t="s">
        <v>105</v>
      </c>
      <c r="B34" s="19">
        <v>12</v>
      </c>
      <c r="C34" s="19">
        <v>600</v>
      </c>
    </row>
    <row r="35" spans="1:3" x14ac:dyDescent="0.3">
      <c r="A35" s="3" t="s">
        <v>107</v>
      </c>
      <c r="B35" s="19">
        <v>0</v>
      </c>
      <c r="C35" s="19">
        <v>25</v>
      </c>
    </row>
    <row r="36" spans="1:3" x14ac:dyDescent="0.3">
      <c r="A36" s="3" t="s">
        <v>5</v>
      </c>
      <c r="B36" s="19">
        <v>186</v>
      </c>
      <c r="C36" s="19">
        <v>9275</v>
      </c>
    </row>
  </sheetData>
  <sheetProtection algorithmName="SHA-512" hashValue="tNkrfSJwmso0FB6iHAP2XqJdfJe7Byn+F0X6XSm1QM7mZlvFkGoIXeWIGl1p5P43QCNgdNdsxLWa534ong+wwQ==" saltValue="FEYDkKoI2IIkDfCY8/sz5Q==" spinCount="100000"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C8C61D-8B4A-4E4F-81F4-67E737EDDDBE}">
  <sheetPr codeName="Sheet3"/>
  <dimension ref="A1:L12"/>
  <sheetViews>
    <sheetView showGridLines="0" zoomScale="85" zoomScaleNormal="85" workbookViewId="0">
      <selection activeCell="G4" sqref="G4"/>
    </sheetView>
  </sheetViews>
  <sheetFormatPr defaultRowHeight="14.4" x14ac:dyDescent="0.3"/>
  <cols>
    <col min="1" max="1" width="7.44140625" style="7" customWidth="1"/>
    <col min="2" max="2" width="11.44140625" style="7" bestFit="1" customWidth="1"/>
    <col min="3" max="3" width="10.6640625" style="7" bestFit="1" customWidth="1"/>
    <col min="4" max="4" width="12" style="7" bestFit="1" customWidth="1"/>
    <col min="5" max="5" width="9.44140625" style="7" bestFit="1" customWidth="1"/>
    <col min="6" max="6" width="13.88671875" style="7" bestFit="1" customWidth="1"/>
    <col min="7" max="7" width="22.77734375" style="7" customWidth="1"/>
    <col min="8" max="8" width="27.6640625" style="7" bestFit="1" customWidth="1"/>
    <col min="9" max="9" width="16.44140625" style="7" customWidth="1"/>
    <col min="10" max="10" width="24.6640625" style="7" customWidth="1"/>
    <col min="11" max="12" width="11.21875" style="7" bestFit="1" customWidth="1"/>
    <col min="13" max="16384" width="8.88671875" style="7"/>
  </cols>
  <sheetData>
    <row r="1" spans="1:12" ht="31.2" x14ac:dyDescent="0.3">
      <c r="A1" s="25"/>
      <c r="B1" s="25" t="s">
        <v>156</v>
      </c>
      <c r="C1" s="25"/>
      <c r="D1" s="25"/>
      <c r="E1" s="25"/>
      <c r="F1" s="25"/>
      <c r="G1" s="25" t="s">
        <v>157</v>
      </c>
      <c r="H1" s="25"/>
      <c r="I1" s="25"/>
      <c r="J1" s="25"/>
      <c r="K1" s="25"/>
      <c r="L1" s="25"/>
    </row>
    <row r="2" spans="1:12" x14ac:dyDescent="0.3">
      <c r="B2" s="6"/>
      <c r="C2" s="6"/>
      <c r="E2" s="26"/>
      <c r="H2" s="27" t="s">
        <v>7</v>
      </c>
      <c r="I2" s="16">
        <v>46159.785844907405</v>
      </c>
    </row>
    <row r="3" spans="1:12" x14ac:dyDescent="0.3">
      <c r="B3" s="31" t="s">
        <v>43</v>
      </c>
      <c r="C3" s="31" t="s">
        <v>158</v>
      </c>
      <c r="D3" s="31" t="s">
        <v>44</v>
      </c>
      <c r="E3" s="31" t="s">
        <v>45</v>
      </c>
      <c r="F3" s="31" t="s">
        <v>46</v>
      </c>
      <c r="G3" s="31" t="s">
        <v>47</v>
      </c>
      <c r="H3" s="31" t="s">
        <v>48</v>
      </c>
      <c r="I3" s="6"/>
      <c r="J3" s="6"/>
    </row>
    <row r="4" spans="1:12" ht="15.6" x14ac:dyDescent="0.3">
      <c r="A4" s="9"/>
      <c r="B4" s="21">
        <v>34</v>
      </c>
      <c r="C4" s="21">
        <v>272.79411764705884</v>
      </c>
      <c r="D4" s="22">
        <v>12</v>
      </c>
      <c r="E4" s="23">
        <v>9275</v>
      </c>
      <c r="F4" s="22">
        <v>10000</v>
      </c>
      <c r="G4" s="22">
        <v>2</v>
      </c>
      <c r="H4" s="21">
        <v>0</v>
      </c>
    </row>
    <row r="5" spans="1:12" x14ac:dyDescent="0.3">
      <c r="A5" s="6"/>
    </row>
    <row r="6" spans="1:12" ht="15.6" x14ac:dyDescent="0.3">
      <c r="J6" s="17" t="s">
        <v>3</v>
      </c>
      <c r="K6" s="18"/>
    </row>
    <row r="7" spans="1:12" x14ac:dyDescent="0.3">
      <c r="J7" s="15"/>
      <c r="K7" s="13"/>
    </row>
    <row r="8" spans="1:12" x14ac:dyDescent="0.3">
      <c r="G8" s="6"/>
      <c r="J8" s="12"/>
      <c r="K8" s="14"/>
    </row>
    <row r="9" spans="1:12" x14ac:dyDescent="0.3">
      <c r="A9" s="6"/>
      <c r="B9" s="6"/>
      <c r="C9" s="6"/>
      <c r="D9" s="6"/>
      <c r="E9" s="6"/>
      <c r="F9" s="6"/>
      <c r="G9" s="6"/>
      <c r="H9" s="6"/>
      <c r="I9" s="6"/>
      <c r="J9" s="28"/>
      <c r="K9" s="29"/>
    </row>
    <row r="10" spans="1:12" x14ac:dyDescent="0.3">
      <c r="A10" s="10"/>
      <c r="B10" s="10"/>
      <c r="C10" s="10"/>
      <c r="D10" s="11"/>
      <c r="E10" s="10"/>
      <c r="F10" s="10"/>
      <c r="G10" s="10"/>
      <c r="H10" s="10"/>
      <c r="I10" s="10"/>
      <c r="J10" s="30"/>
      <c r="K10" s="14"/>
    </row>
    <row r="11" spans="1:12" x14ac:dyDescent="0.3">
      <c r="A11" s="10"/>
      <c r="B11" s="10"/>
      <c r="C11" s="10"/>
      <c r="D11" s="11"/>
      <c r="E11" s="10"/>
      <c r="F11" s="10"/>
      <c r="G11" s="10"/>
      <c r="H11" s="10"/>
      <c r="I11" s="10"/>
      <c r="J11" s="10"/>
      <c r="K11" s="6"/>
    </row>
    <row r="12" spans="1:12" x14ac:dyDescent="0.3">
      <c r="A12" s="10"/>
      <c r="B12" s="10"/>
      <c r="C12" s="10"/>
      <c r="D12" s="11"/>
      <c r="E12" s="10"/>
      <c r="F12" s="10"/>
      <c r="G12" s="10"/>
      <c r="H12" s="10"/>
      <c r="I12" s="10"/>
      <c r="J12" s="10"/>
      <c r="K12" s="8"/>
    </row>
  </sheetData>
  <sheetProtection algorithmName="SHA-512" hashValue="kbEDJRZhN5U9S/rHvd/YLCZ4z/EXjThGaEJtD5xOAOrYMWnv4WhA7CHQUDeiptwLXT0+gtfZ6GucqRbOZBUx9A==" saltValue="B7LaJdDO7g7r5POY+B+tXA==" spinCount="100000" sheet="1" objects="1" scenarios="1"/>
  <mergeCells count="1">
    <mergeCell ref="J6:K6"/>
  </mergeCells>
  <conditionalFormatting pivot="1" sqref="G4">
    <cfRule type="iconSet" priority="1">
      <iconSet showValue="0">
        <cfvo type="num" val="-1"/>
        <cfvo type="num" val="-0.5"/>
        <cfvo type="num" val="0.5"/>
      </iconSet>
    </cfRule>
  </conditionalFormatting>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2" r:id="rId5" name="Button 4">
              <controlPr defaultSize="0" print="0" autoFill="0" autoPict="0" macro="[0]!RefreshData">
                <anchor moveWithCells="1" sizeWithCells="1">
                  <from>
                    <xdr:col>9</xdr:col>
                    <xdr:colOff>213360</xdr:colOff>
                    <xdr:row>6</xdr:row>
                    <xdr:rowOff>68580</xdr:rowOff>
                  </from>
                  <to>
                    <xdr:col>10</xdr:col>
                    <xdr:colOff>617220</xdr:colOff>
                    <xdr:row>7</xdr:row>
                    <xdr:rowOff>106680</xdr:rowOff>
                  </to>
                </anchor>
              </controlPr>
            </control>
          </mc:Choice>
        </mc:AlternateContent>
        <mc:AlternateContent xmlns:mc="http://schemas.openxmlformats.org/markup-compatibility/2006">
          <mc:Choice Requires="x14">
            <control shapeId="2053" r:id="rId6" name="Button 5">
              <controlPr defaultSize="0" print="0" autoFill="0" autoPict="0" macro="[0]!ExportPDF">
                <anchor moveWithCells="1" sizeWithCells="1">
                  <from>
                    <xdr:col>9</xdr:col>
                    <xdr:colOff>205740</xdr:colOff>
                    <xdr:row>8</xdr:row>
                    <xdr:rowOff>53340</xdr:rowOff>
                  </from>
                  <to>
                    <xdr:col>10</xdr:col>
                    <xdr:colOff>624840</xdr:colOff>
                    <xdr:row>9</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Props1.xml><?xml version="1.0" encoding="utf-8"?>
<ds:datastoreItem xmlns:ds="http://schemas.openxmlformats.org/officeDocument/2006/customXml" ds:itemID="{EDD04F62-0218-4CE1-B29E-0CD4AA4AA58D}">
  <ds:schemaRefs/>
</ds:datastoreItem>
</file>

<file path=customXml/itemProps2.xml><?xml version="1.0" encoding="utf-8"?>
<ds:datastoreItem xmlns:ds="http://schemas.openxmlformats.org/officeDocument/2006/customXml" ds:itemID="{773C7159-F309-46D3-B59B-6D655357752E}">
  <ds:schemaRefs/>
</ds:datastoreItem>
</file>

<file path=customXml/itemProps3.xml><?xml version="1.0" encoding="utf-8"?>
<ds:datastoreItem xmlns:ds="http://schemas.openxmlformats.org/officeDocument/2006/customXml" ds:itemID="{C3142675-9648-4AA7-B25E-462DE98AB2AA}">
  <ds:schemaRefs/>
</ds:datastoreItem>
</file>

<file path=customXml/itemProps4.xml><?xml version="1.0" encoding="utf-8"?>
<ds:datastoreItem xmlns:ds="http://schemas.openxmlformats.org/officeDocument/2006/customXml" ds:itemID="{3F06F65A-B8D5-4AFE-802D-8B4FB38793B7}">
  <ds:schemaRefs/>
</ds:datastoreItem>
</file>

<file path=customXml/itemProps5.xml><?xml version="1.0" encoding="utf-8"?>
<ds:datastoreItem xmlns:ds="http://schemas.openxmlformats.org/officeDocument/2006/customXml" ds:itemID="{262CDBED-9AE6-4B4F-AF25-62C232419B68}">
  <ds:schemaRefs/>
</ds:datastoreItem>
</file>

<file path=customXml/itemProps6.xml><?xml version="1.0" encoding="utf-8"?>
<ds:datastoreItem xmlns:ds="http://schemas.openxmlformats.org/officeDocument/2006/customXml" ds:itemID="{76C2689A-EA15-483D-9017-ADE7F22E5FC1}">
  <ds:schemaRefs/>
</ds:datastoreItem>
</file>

<file path=customXml/itemProps7.xml><?xml version="1.0" encoding="utf-8"?>
<ds:datastoreItem xmlns:ds="http://schemas.openxmlformats.org/officeDocument/2006/customXml" ds:itemID="{16B27D7F-65C4-4379-BA5E-C8E198DD1E82}">
  <ds:schemaRefs/>
</ds:datastoreItem>
</file>

<file path=customXml/itemProps8.xml><?xml version="1.0" encoding="utf-8"?>
<ds:datastoreItem xmlns:ds="http://schemas.openxmlformats.org/officeDocument/2006/customXml" ds:itemID="{298CCD91-F854-44F1-A43E-C8F6219BF5B1}">
  <ds:schemaRefs/>
</ds:datastoreItem>
</file>

<file path=customXml/itemProps9.xml><?xml version="1.0" encoding="utf-8"?>
<ds:datastoreItem xmlns:ds="http://schemas.openxmlformats.org/officeDocument/2006/customXml" ds:itemID="{34DF84CD-47E7-4B4E-B29A-31BBE59623E7}">
  <ds:schemaRefs/>
</ds:datastoreItem>
</file>

<file path=customXml/itemProps10.xml><?xml version="1.0" encoding="utf-8"?>
<ds:datastoreItem xmlns:ds="http://schemas.openxmlformats.org/officeDocument/2006/customXml" ds:itemID="{837C6B5F-817A-4250-9F14-57BCBCB1B5AD}">
  <ds:schemaRefs/>
</ds:datastoreItem>
</file>

<file path=customXml/itemProps11.xml><?xml version="1.0" encoding="utf-8"?>
<ds:datastoreItem xmlns:ds="http://schemas.openxmlformats.org/officeDocument/2006/customXml" ds:itemID="{430FB3A4-A963-434B-AC06-89EE8861C43D}">
  <ds:schemaRefs/>
</ds:datastoreItem>
</file>

<file path=customXml/itemProps12.xml><?xml version="1.0" encoding="utf-8"?>
<ds:datastoreItem xmlns:ds="http://schemas.openxmlformats.org/officeDocument/2006/customXml" ds:itemID="{2BE6EF7B-78E1-4168-B30C-EF97BC08A41A}">
  <ds:schemaRefs/>
</ds:datastoreItem>
</file>

<file path=customXml/itemProps13.xml><?xml version="1.0" encoding="utf-8"?>
<ds:datastoreItem xmlns:ds="http://schemas.openxmlformats.org/officeDocument/2006/customXml" ds:itemID="{4F3A586F-CAED-4649-A774-DE6FD8856405}">
  <ds:schemaRefs>
    <ds:schemaRef ds:uri="http://schemas.microsoft.com/DataMashup"/>
  </ds:schemaRefs>
</ds:datastoreItem>
</file>

<file path=customXml/itemProps14.xml><?xml version="1.0" encoding="utf-8"?>
<ds:datastoreItem xmlns:ds="http://schemas.openxmlformats.org/officeDocument/2006/customXml" ds:itemID="{0EE36C7A-0BA3-4611-A14B-5E79490969BC}">
  <ds:schemaRefs/>
</ds:datastoreItem>
</file>

<file path=customXml/itemProps15.xml><?xml version="1.0" encoding="utf-8"?>
<ds:datastoreItem xmlns:ds="http://schemas.openxmlformats.org/officeDocument/2006/customXml" ds:itemID="{45875DC7-53C4-463D-AFC3-51D0C8F88C13}">
  <ds:schemaRefs/>
</ds:datastoreItem>
</file>

<file path=customXml/itemProps16.xml><?xml version="1.0" encoding="utf-8"?>
<ds:datastoreItem xmlns:ds="http://schemas.openxmlformats.org/officeDocument/2006/customXml" ds:itemID="{A05E711B-5827-4082-BC1D-5C92D5009475}">
  <ds:schemaRefs/>
</ds:datastoreItem>
</file>

<file path=customXml/itemProps17.xml><?xml version="1.0" encoding="utf-8"?>
<ds:datastoreItem xmlns:ds="http://schemas.openxmlformats.org/officeDocument/2006/customXml" ds:itemID="{F8ED6373-98CB-4220-9917-378AAE9CB721}">
  <ds:schemaRefs/>
</ds:datastoreItem>
</file>

<file path=customXml/itemProps18.xml><?xml version="1.0" encoding="utf-8"?>
<ds:datastoreItem xmlns:ds="http://schemas.openxmlformats.org/officeDocument/2006/customXml" ds:itemID="{4C5FC9EE-E7A1-40B5-8189-E97476AC7A1B}">
  <ds:schemaRefs/>
</ds:datastoreItem>
</file>

<file path=customXml/itemProps19.xml><?xml version="1.0" encoding="utf-8"?>
<ds:datastoreItem xmlns:ds="http://schemas.openxmlformats.org/officeDocument/2006/customXml" ds:itemID="{A66334E4-EDED-430A-937A-292E746A394F}">
  <ds:schemaRefs/>
</ds:datastoreItem>
</file>

<file path=customXml/itemProps20.xml><?xml version="1.0" encoding="utf-8"?>
<ds:datastoreItem xmlns:ds="http://schemas.openxmlformats.org/officeDocument/2006/customXml" ds:itemID="{2B3BF30B-29A6-481A-B67F-D23C8007F428}">
  <ds:schemaRefs/>
</ds:datastoreItem>
</file>

<file path=customXml/itemProps21.xml><?xml version="1.0" encoding="utf-8"?>
<ds:datastoreItem xmlns:ds="http://schemas.openxmlformats.org/officeDocument/2006/customXml" ds:itemID="{FD6844FF-1300-442F-833F-2927AD8C54AF}">
  <ds:schemaRefs/>
</ds:datastoreItem>
</file>

<file path=customXml/itemProps22.xml><?xml version="1.0" encoding="utf-8"?>
<ds:datastoreItem xmlns:ds="http://schemas.openxmlformats.org/officeDocument/2006/customXml" ds:itemID="{911ED619-6FC7-4A63-8D6F-57928BDA1FC8}">
  <ds:schemaRefs/>
</ds:datastoreItem>
</file>

<file path=customXml/itemProps23.xml><?xml version="1.0" encoding="utf-8"?>
<ds:datastoreItem xmlns:ds="http://schemas.openxmlformats.org/officeDocument/2006/customXml" ds:itemID="{6F88C068-5FFC-404C-87A5-035E10CB8998}">
  <ds:schemaRefs/>
</ds:datastoreItem>
</file>

<file path=customXml/itemProps24.xml><?xml version="1.0" encoding="utf-8"?>
<ds:datastoreItem xmlns:ds="http://schemas.openxmlformats.org/officeDocument/2006/customXml" ds:itemID="{AF722C42-79AF-44BE-B084-EE8A8F20AA4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CRM_Data</vt:lpstr>
      <vt:lpstr>Billing_Data</vt:lpstr>
      <vt:lpstr>Pivot_Backend</vt:lpstr>
      <vt:lpstr>PivotTables_Data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Ana Salsas</dc:creator>
  <cp:lastModifiedBy>Ana Salsas</cp:lastModifiedBy>
  <cp:lastPrinted>2026-05-17T17:52:45Z</cp:lastPrinted>
  <dcterms:created xsi:type="dcterms:W3CDTF">2026-05-16T15:45:52Z</dcterms:created>
  <dcterms:modified xsi:type="dcterms:W3CDTF">2026-05-17T17:56:05Z</dcterms:modified>
</cp:coreProperties>
</file>